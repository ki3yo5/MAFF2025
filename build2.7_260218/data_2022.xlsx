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"/>
    </mc:Choice>
  </mc:AlternateContent>
  <xr:revisionPtr revIDLastSave="0" documentId="13_ncr:1_{1817971C-6145-4DC3-97F7-CF087245E2A5}" xr6:coauthVersionLast="47" xr6:coauthVersionMax="47" xr10:uidLastSave="{00000000-0000-0000-0000-000000000000}"/>
  <bookViews>
    <workbookView xWindow="-110" yWindow="-110" windowWidth="25820" windowHeight="15500" tabRatio="868" firstSheet="10" activeTab="15" xr2:uid="{00000000-000D-0000-FFFF-FFFF00000000}"/>
  </bookViews>
  <sheets>
    <sheet name="Index" sheetId="1" r:id="rId1"/>
    <sheet name="sval" sheetId="22" r:id="rId2"/>
    <sheet name="prod_alt" sheetId="2" r:id="rId3"/>
    <sheet name="land_endw" sheetId="3" r:id="rId4"/>
    <sheet name="land_dsrt" sheetId="4" r:id="rId5"/>
    <sheet name="head" sheetId="21" r:id="rId6"/>
    <sheet name="fdemand" sheetId="14" r:id="rId7"/>
    <sheet name="fsupply" sheetId="15" r:id="rId8"/>
    <sheet name="fconst_imp" sheetId="16" r:id="rId9"/>
    <sheet name="edemand" sheetId="9" r:id="rId10"/>
    <sheet name="esupply" sheetId="10" r:id="rId11"/>
    <sheet name="fertcoef" sheetId="11" r:id="rId12"/>
    <sheet name="ldemand_c" sheetId="12" r:id="rId13"/>
    <sheet name="ldemand_l" sheetId="13" r:id="rId14"/>
    <sheet name="intake" sheetId="17" r:id="rId15"/>
    <sheet name="nvalue" sheetId="18" r:id="rId16"/>
  </sheets>
  <definedNames>
    <definedName name="_xlnm.Print_Area" localSheetId="15">nvalue!$A$1:$K$22</definedName>
    <definedName name="_xlnm.Print_Area" localSheetId="2">prod_alt!$A$1:$R$21</definedName>
    <definedName name="のりれ" localSheetId="14">#REF!</definedName>
    <definedName name="のりれ" localSheetId="15">#REF!</definedName>
    <definedName name="のりれ">#REF!</definedName>
    <definedName name="作付面積" localSheetId="14">#REF!</definedName>
    <definedName name="作付面積" localSheetId="15">#REF!</definedName>
    <definedName name="作付面積">#REF!</definedName>
    <definedName name="収穫量" localSheetId="14">#REF!</definedName>
    <definedName name="収穫量" localSheetId="15">#REF!</definedName>
    <definedName name="収穫量">#REF!</definedName>
    <definedName name="単収" localSheetId="14">#REF!</definedName>
    <definedName name="単収" localSheetId="15">#REF!</definedName>
    <definedName name="単収">#REF!</definedName>
    <definedName name="陸作付面積" localSheetId="14">#REF!</definedName>
    <definedName name="陸作付面積" localSheetId="1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8" l="1"/>
  <c r="G22" i="18"/>
  <c r="K21" i="18"/>
  <c r="G21" i="18"/>
  <c r="K20" i="18"/>
  <c r="G20" i="18"/>
  <c r="K18" i="18"/>
  <c r="G18" i="18"/>
  <c r="K17" i="18"/>
  <c r="G17" i="18"/>
  <c r="K16" i="18"/>
  <c r="G16" i="18"/>
  <c r="K15" i="18"/>
  <c r="G15" i="18"/>
  <c r="K14" i="18"/>
  <c r="G14" i="18"/>
  <c r="K13" i="18"/>
  <c r="G13" i="18"/>
  <c r="K12" i="18"/>
  <c r="G12" i="18"/>
  <c r="K11" i="18"/>
  <c r="G11" i="18"/>
  <c r="K10" i="18"/>
  <c r="G10" i="18"/>
  <c r="K9" i="18"/>
  <c r="G9" i="18"/>
  <c r="K8" i="18"/>
  <c r="G8" i="18"/>
  <c r="K7" i="18"/>
  <c r="G7" i="18"/>
  <c r="K6" i="18"/>
  <c r="G6" i="18"/>
  <c r="K5" i="18"/>
  <c r="G5" i="18"/>
  <c r="K4" i="18"/>
  <c r="G4" i="18"/>
  <c r="K3" i="18"/>
  <c r="G3" i="18"/>
  <c r="H3" i="17"/>
  <c r="C3" i="17"/>
</calcChain>
</file>

<file path=xl/sharedStrings.xml><?xml version="1.0" encoding="utf-8"?>
<sst xmlns="http://schemas.openxmlformats.org/spreadsheetml/2006/main" count="418" uniqueCount="215">
  <si>
    <t>area</t>
    <phoneticPr fontId="5"/>
  </si>
  <si>
    <t>yield</t>
    <phoneticPr fontId="5"/>
  </si>
  <si>
    <t>prod</t>
    <phoneticPr fontId="5"/>
  </si>
  <si>
    <t>import</t>
    <phoneticPr fontId="5"/>
  </si>
  <si>
    <t>export</t>
    <phoneticPr fontId="5"/>
  </si>
  <si>
    <t>stock</t>
    <phoneticPr fontId="5"/>
  </si>
  <si>
    <t>total</t>
    <phoneticPr fontId="5"/>
  </si>
  <si>
    <t>feed</t>
    <phoneticPr fontId="5"/>
  </si>
  <si>
    <t>seed</t>
    <phoneticPr fontId="5"/>
  </si>
  <si>
    <t>processing</t>
    <phoneticPr fontId="5"/>
  </si>
  <si>
    <t>passenger</t>
    <phoneticPr fontId="2"/>
  </si>
  <si>
    <t>wear</t>
    <phoneticPr fontId="5"/>
  </si>
  <si>
    <t>gross</t>
    <phoneticPr fontId="5"/>
  </si>
  <si>
    <t>g2n</t>
    <phoneticPr fontId="5"/>
  </si>
  <si>
    <t>net</t>
    <phoneticPr fontId="5"/>
  </si>
  <si>
    <t>rice</t>
    <phoneticPr fontId="5"/>
  </si>
  <si>
    <t>wheat</t>
    <phoneticPr fontId="5"/>
  </si>
  <si>
    <t>pwheat</t>
    <phoneticPr fontId="5"/>
  </si>
  <si>
    <t>barley</t>
    <phoneticPr fontId="5"/>
  </si>
  <si>
    <t>pbarley</t>
    <phoneticPr fontId="5"/>
  </si>
  <si>
    <t>naked</t>
    <phoneticPr fontId="5"/>
  </si>
  <si>
    <t>corn</t>
    <phoneticPr fontId="5"/>
  </si>
  <si>
    <t>sorghum</t>
    <phoneticPr fontId="5"/>
  </si>
  <si>
    <t>mis_grains</t>
    <phoneticPr fontId="5"/>
  </si>
  <si>
    <t>sweetp</t>
    <phoneticPr fontId="5"/>
  </si>
  <si>
    <t>psweetp</t>
    <phoneticPr fontId="5"/>
  </si>
  <si>
    <t>potato</t>
    <phoneticPr fontId="5"/>
  </si>
  <si>
    <t>ppotato</t>
    <phoneticPr fontId="5"/>
  </si>
  <si>
    <t>soy</t>
    <phoneticPr fontId="5"/>
  </si>
  <si>
    <t>psoy</t>
    <phoneticPr fontId="5"/>
  </si>
  <si>
    <t>mis_beans</t>
    <phoneticPr fontId="5"/>
  </si>
  <si>
    <t>veges</t>
    <phoneticPr fontId="5"/>
  </si>
  <si>
    <t>mandarin</t>
    <phoneticPr fontId="5"/>
  </si>
  <si>
    <t>apple</t>
    <phoneticPr fontId="5"/>
  </si>
  <si>
    <t>mis_fruits</t>
    <phoneticPr fontId="5"/>
  </si>
  <si>
    <t>scane</t>
    <phoneticPr fontId="5"/>
  </si>
  <si>
    <t>sbeat</t>
    <phoneticPr fontId="5"/>
  </si>
  <si>
    <t>rapeseed</t>
    <phoneticPr fontId="5"/>
  </si>
  <si>
    <t>starch</t>
    <phoneticPr fontId="5"/>
  </si>
  <si>
    <t>fish</t>
    <phoneticPr fontId="5"/>
  </si>
  <si>
    <t>seaweed</t>
    <phoneticPr fontId="5"/>
  </si>
  <si>
    <t>sugar</t>
    <phoneticPr fontId="5"/>
  </si>
  <si>
    <t>oil</t>
    <phoneticPr fontId="5"/>
  </si>
  <si>
    <t>miso</t>
    <phoneticPr fontId="5"/>
  </si>
  <si>
    <t>soysource</t>
    <phoneticPr fontId="5"/>
  </si>
  <si>
    <t>mis_foods</t>
    <phoneticPr fontId="5"/>
  </si>
  <si>
    <t>beef</t>
  </si>
  <si>
    <t>pork</t>
    <phoneticPr fontId="5"/>
  </si>
  <si>
    <t>chicken</t>
    <phoneticPr fontId="5"/>
  </si>
  <si>
    <t>egg</t>
    <phoneticPr fontId="5"/>
  </si>
  <si>
    <t>milk</t>
    <phoneticPr fontId="5"/>
  </si>
  <si>
    <t>paddy_wet</t>
    <phoneticPr fontId="5"/>
  </si>
  <si>
    <t>paddy_dry</t>
    <phoneticPr fontId="5"/>
  </si>
  <si>
    <t>field_rain</t>
    <phoneticPr fontId="5"/>
  </si>
  <si>
    <t>field_irr</t>
    <phoneticPr fontId="5"/>
  </si>
  <si>
    <t>orchard</t>
    <phoneticPr fontId="5"/>
  </si>
  <si>
    <t>pasture</t>
    <phoneticPr fontId="5"/>
  </si>
  <si>
    <t>Hokkaido</t>
    <phoneticPr fontId="5"/>
  </si>
  <si>
    <t>Tohoku_Hokuriku</t>
    <phoneticPr fontId="5"/>
  </si>
  <si>
    <t>Kanto_West</t>
    <phoneticPr fontId="5"/>
  </si>
  <si>
    <t>Okinawa</t>
    <phoneticPr fontId="5"/>
  </si>
  <si>
    <t>paddy_dsrt</t>
    <phoneticPr fontId="5"/>
  </si>
  <si>
    <t>field_dsrt</t>
    <phoneticPr fontId="5"/>
  </si>
  <si>
    <t>nitrogen</t>
  </si>
  <si>
    <t>phosphate</t>
  </si>
  <si>
    <t>kalium</t>
  </si>
  <si>
    <t>rice</t>
    <phoneticPr fontId="4"/>
  </si>
  <si>
    <t>wheat</t>
    <phoneticPr fontId="4"/>
  </si>
  <si>
    <t>pwheat</t>
    <phoneticPr fontId="4"/>
  </si>
  <si>
    <t>barley</t>
    <phoneticPr fontId="4"/>
  </si>
  <si>
    <t>pbarley</t>
    <phoneticPr fontId="4"/>
  </si>
  <si>
    <t>naked</t>
    <phoneticPr fontId="4"/>
  </si>
  <si>
    <t>mis_grains</t>
    <phoneticPr fontId="4"/>
  </si>
  <si>
    <t>sweetp</t>
    <phoneticPr fontId="4"/>
  </si>
  <si>
    <t>psweetp</t>
    <phoneticPr fontId="4"/>
  </si>
  <si>
    <t>potato</t>
    <phoneticPr fontId="4"/>
  </si>
  <si>
    <t>ppotato</t>
    <phoneticPr fontId="4"/>
  </si>
  <si>
    <t>soy</t>
    <phoneticPr fontId="4"/>
  </si>
  <si>
    <t>psoy</t>
    <phoneticPr fontId="4"/>
  </si>
  <si>
    <t>mis_beans</t>
    <phoneticPr fontId="4"/>
  </si>
  <si>
    <t>veges</t>
    <phoneticPr fontId="4"/>
  </si>
  <si>
    <t>mandarin</t>
    <phoneticPr fontId="4"/>
  </si>
  <si>
    <t>apple</t>
    <phoneticPr fontId="4"/>
  </si>
  <si>
    <t>mis_fruits</t>
    <phoneticPr fontId="4"/>
  </si>
  <si>
    <t>scane</t>
  </si>
  <si>
    <t>sbeat</t>
    <phoneticPr fontId="4"/>
  </si>
  <si>
    <t>rapeseed</t>
    <phoneticPr fontId="4"/>
  </si>
  <si>
    <t xml:space="preserve">corn </t>
    <phoneticPr fontId="4"/>
  </si>
  <si>
    <t>sorghum</t>
    <phoneticPr fontId="4"/>
  </si>
  <si>
    <t>prod</t>
    <phoneticPr fontId="4"/>
  </si>
  <si>
    <t>import</t>
    <phoneticPr fontId="4"/>
  </si>
  <si>
    <t>slope</t>
    <phoneticPr fontId="5"/>
  </si>
  <si>
    <t>intercept</t>
    <phoneticPr fontId="5"/>
  </si>
  <si>
    <t>max</t>
    <phoneticPr fontId="5"/>
  </si>
  <si>
    <t>mis_grains</t>
  </si>
  <si>
    <t>sweetp</t>
  </si>
  <si>
    <t>scane</t>
    <phoneticPr fontId="4"/>
  </si>
  <si>
    <t>rapeseed</t>
  </si>
  <si>
    <t>corn</t>
    <phoneticPr fontId="4"/>
  </si>
  <si>
    <t>sorghum</t>
  </si>
  <si>
    <t>dairyox</t>
  </si>
  <si>
    <t>heifer</t>
  </si>
  <si>
    <t>calves</t>
  </si>
  <si>
    <t>swine</t>
  </si>
  <si>
    <t>broiler</t>
  </si>
  <si>
    <t>layinghens</t>
  </si>
  <si>
    <t>dairycow</t>
  </si>
  <si>
    <t>tdn</t>
    <phoneticPr fontId="5"/>
  </si>
  <si>
    <t>cp_low</t>
    <phoneticPr fontId="5"/>
  </si>
  <si>
    <t>cp_mid</t>
    <phoneticPr fontId="5"/>
  </si>
  <si>
    <t>cp_high</t>
    <phoneticPr fontId="5"/>
  </si>
  <si>
    <t>dairycow</t>
    <phoneticPr fontId="5"/>
  </si>
  <si>
    <t>calves</t>
    <phoneticPr fontId="5"/>
  </si>
  <si>
    <t>fodder</t>
    <phoneticPr fontId="5"/>
  </si>
  <si>
    <t>ricestraw</t>
    <phoneticPr fontId="5"/>
  </si>
  <si>
    <t>wheatstraw</t>
    <phoneticPr fontId="5"/>
  </si>
  <si>
    <t>potatovines</t>
    <phoneticPr fontId="5"/>
  </si>
  <si>
    <t xml:space="preserve"> ricebran</t>
    <phoneticPr fontId="5"/>
  </si>
  <si>
    <t>wheatbran</t>
    <phoneticPr fontId="5"/>
  </si>
  <si>
    <t>soybeancake</t>
    <phoneticPr fontId="5"/>
  </si>
  <si>
    <t>rapeseedcake</t>
    <phoneticPr fontId="5"/>
  </si>
  <si>
    <t>beetpulp</t>
    <phoneticPr fontId="5"/>
  </si>
  <si>
    <t>molasses</t>
    <phoneticPr fontId="5"/>
  </si>
  <si>
    <t>bagasse</t>
    <phoneticPr fontId="5"/>
  </si>
  <si>
    <t>meatbonemeal</t>
    <phoneticPr fontId="5"/>
  </si>
  <si>
    <t>fishmeal</t>
    <phoneticPr fontId="5"/>
  </si>
  <si>
    <t>corn</t>
  </si>
  <si>
    <t>wheat</t>
  </si>
  <si>
    <t>barley</t>
  </si>
  <si>
    <t>rice</t>
  </si>
  <si>
    <t>cp</t>
    <phoneticPr fontId="5"/>
  </si>
  <si>
    <t>dairyox</t>
    <phoneticPr fontId="5"/>
  </si>
  <si>
    <t>heifer</t>
    <phoneticPr fontId="5"/>
  </si>
  <si>
    <t>swine</t>
    <phoneticPr fontId="5"/>
  </si>
  <si>
    <t>stock</t>
  </si>
  <si>
    <t>import</t>
  </si>
  <si>
    <t>presupply</t>
  </si>
  <si>
    <t>const</t>
  </si>
  <si>
    <t>fodder</t>
  </si>
  <si>
    <t>ricestraw</t>
  </si>
  <si>
    <t>wheatstraw</t>
  </si>
  <si>
    <t>potatovines</t>
  </si>
  <si>
    <t>ricebran</t>
  </si>
  <si>
    <t>wheatbran</t>
  </si>
  <si>
    <t>rapeseedcake</t>
  </si>
  <si>
    <t>beetpulp</t>
  </si>
  <si>
    <t>molasses</t>
  </si>
  <si>
    <t>bagasse</t>
  </si>
  <si>
    <t>meatbonemeal</t>
  </si>
  <si>
    <t>male</t>
    <phoneticPr fontId="5"/>
  </si>
  <si>
    <t>female</t>
    <phoneticPr fontId="5"/>
  </si>
  <si>
    <t>pop</t>
    <phoneticPr fontId="5"/>
  </si>
  <si>
    <t>calorie</t>
    <phoneticPr fontId="5"/>
  </si>
  <si>
    <t>protein</t>
    <phoneticPr fontId="5"/>
  </si>
  <si>
    <t>fat</t>
    <phoneticPr fontId="5"/>
  </si>
  <si>
    <t>carbonhydrate</t>
  </si>
  <si>
    <t>0-1</t>
    <phoneticPr fontId="5"/>
  </si>
  <si>
    <t>1-2</t>
    <phoneticPr fontId="5"/>
  </si>
  <si>
    <t>3-5</t>
    <phoneticPr fontId="5"/>
  </si>
  <si>
    <t>6-7</t>
    <phoneticPr fontId="5"/>
  </si>
  <si>
    <t>8-9</t>
    <phoneticPr fontId="5"/>
  </si>
  <si>
    <t>10-11</t>
    <phoneticPr fontId="5"/>
  </si>
  <si>
    <t>12-14</t>
    <phoneticPr fontId="5"/>
  </si>
  <si>
    <t>15-17</t>
    <phoneticPr fontId="5"/>
  </si>
  <si>
    <t>18-29</t>
    <phoneticPr fontId="5"/>
  </si>
  <si>
    <t>30-49</t>
    <phoneticPr fontId="5"/>
  </si>
  <si>
    <t>50-64</t>
    <phoneticPr fontId="5"/>
  </si>
  <si>
    <t>65-74</t>
    <phoneticPr fontId="5"/>
  </si>
  <si>
    <t>75-</t>
    <phoneticPr fontId="5"/>
  </si>
  <si>
    <t>pc</t>
    <phoneticPr fontId="5"/>
  </si>
  <si>
    <t>value</t>
    <phoneticPr fontId="5"/>
  </si>
  <si>
    <t>supplypy</t>
    <phoneticPr fontId="5"/>
  </si>
  <si>
    <t>supplypd</t>
    <phoneticPr fontId="5"/>
  </si>
  <si>
    <t>par</t>
    <phoneticPr fontId="4"/>
  </si>
  <si>
    <t>data</t>
    <phoneticPr fontId="4"/>
  </si>
  <si>
    <t>prod_alt!a1:enh3582</t>
  </si>
  <si>
    <t xml:space="preserve">Rdim=1 </t>
  </si>
  <si>
    <t>Cdim=1</t>
    <phoneticPr fontId="4"/>
  </si>
  <si>
    <t>land_endw</t>
  </si>
  <si>
    <t>land_endw!a1:enh3582</t>
    <phoneticPr fontId="4"/>
  </si>
  <si>
    <t>land_dsrt</t>
  </si>
  <si>
    <t>land_dsrt!a1:enh3582</t>
  </si>
  <si>
    <t>edemand</t>
  </si>
  <si>
    <t>edemand!a1:enh3582</t>
  </si>
  <si>
    <t>esupply</t>
  </si>
  <si>
    <t>esupply!a1:enh3582</t>
    <phoneticPr fontId="4"/>
  </si>
  <si>
    <t>Cdim=2</t>
    <phoneticPr fontId="4"/>
  </si>
  <si>
    <t>fertcoef</t>
  </si>
  <si>
    <t>fertcoef!a1:enh3582</t>
  </si>
  <si>
    <t>ldemand_c</t>
  </si>
  <si>
    <t>ldemand_c!a1:enh3582</t>
    <phoneticPr fontId="4"/>
  </si>
  <si>
    <t>ldemand_l</t>
  </si>
  <si>
    <t>ldemand_l!a1:enh3582</t>
  </si>
  <si>
    <t>fdemand</t>
  </si>
  <si>
    <t>fdemand!a1:enh3582</t>
  </si>
  <si>
    <t>fsupply</t>
    <phoneticPr fontId="4"/>
  </si>
  <si>
    <t>fsupply!a1:enh3582</t>
    <phoneticPr fontId="4"/>
  </si>
  <si>
    <t>Rdim=2</t>
    <phoneticPr fontId="4"/>
  </si>
  <si>
    <t>fconst</t>
    <phoneticPr fontId="4"/>
  </si>
  <si>
    <t>fconst_imp!a1:enh3582</t>
  </si>
  <si>
    <t>intake</t>
  </si>
  <si>
    <t>intake!a1:enh3582</t>
  </si>
  <si>
    <t>nvalue</t>
  </si>
  <si>
    <t>DataType</t>
  </si>
  <si>
    <t>Symbol</t>
  </si>
  <si>
    <t>Range</t>
  </si>
  <si>
    <t>head</t>
  </si>
  <si>
    <t>par</t>
  </si>
  <si>
    <t xml:space="preserve">nvalue!a1:enh3582 </t>
    <phoneticPr fontId="4"/>
  </si>
  <si>
    <t xml:space="preserve">head!a1:enh3582 </t>
    <phoneticPr fontId="4"/>
  </si>
  <si>
    <t>sval</t>
    <phoneticPr fontId="4"/>
  </si>
  <si>
    <t xml:space="preserve">sval!a1:enh3582 </t>
    <phoneticPr fontId="4"/>
  </si>
  <si>
    <t>lsupply</t>
    <phoneticPr fontId="4"/>
  </si>
  <si>
    <t>culled</t>
  </si>
  <si>
    <t>lactating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</si>
</sst>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_ "/>
    <numFmt numFmtId="177" formatCode="0.00_ "/>
    <numFmt numFmtId="178" formatCode="0.0"/>
    <numFmt numFmtId="179" formatCode="0.000_);[Red]\(0.000\)"/>
    <numFmt numFmtId="180" formatCode="0.0_ 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vertical="center" shrinkToFit="1"/>
    </xf>
    <xf numFmtId="0" fontId="3" fillId="0" borderId="0" xfId="1" applyFont="1" applyAlignment="1">
      <alignment vertical="center" shrinkToFit="1"/>
    </xf>
    <xf numFmtId="0" fontId="1" fillId="2" borderId="0" xfId="1" applyFill="1">
      <alignment vertical="center"/>
    </xf>
    <xf numFmtId="176" fontId="3" fillId="2" borderId="0" xfId="1" applyNumberFormat="1" applyFont="1" applyFill="1">
      <alignment vertical="center"/>
    </xf>
    <xf numFmtId="177" fontId="3" fillId="2" borderId="0" xfId="1" applyNumberFormat="1" applyFont="1" applyFill="1">
      <alignment vertical="center"/>
    </xf>
    <xf numFmtId="0" fontId="1" fillId="0" borderId="0" xfId="1">
      <alignment vertical="center"/>
    </xf>
    <xf numFmtId="176" fontId="1" fillId="2" borderId="0" xfId="1" applyNumberFormat="1" applyFill="1">
      <alignment vertical="center"/>
    </xf>
    <xf numFmtId="177" fontId="1" fillId="2" borderId="0" xfId="1" applyNumberFormat="1" applyFill="1">
      <alignment vertical="center"/>
    </xf>
    <xf numFmtId="178" fontId="1" fillId="0" borderId="0" xfId="1" applyNumberFormat="1">
      <alignment vertical="center"/>
    </xf>
    <xf numFmtId="1" fontId="1" fillId="0" borderId="0" xfId="1" applyNumberFormat="1">
      <alignment vertical="center"/>
    </xf>
    <xf numFmtId="0" fontId="1" fillId="3" borderId="0" xfId="1" applyFill="1">
      <alignment vertical="center"/>
    </xf>
    <xf numFmtId="2" fontId="1" fillId="0" borderId="0" xfId="1" applyNumberFormat="1">
      <alignment vertical="center"/>
    </xf>
    <xf numFmtId="3" fontId="0" fillId="0" borderId="0" xfId="0" applyNumberFormat="1"/>
    <xf numFmtId="0" fontId="1" fillId="0" borderId="0" xfId="1" applyAlignment="1"/>
    <xf numFmtId="9" fontId="1" fillId="0" borderId="0" xfId="1" applyNumberFormat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6" fillId="0" borderId="0" xfId="2">
      <alignment vertical="center"/>
    </xf>
    <xf numFmtId="38" fontId="0" fillId="0" borderId="2" xfId="3" applyFont="1" applyBorder="1">
      <alignment vertical="center"/>
    </xf>
    <xf numFmtId="38" fontId="0" fillId="0" borderId="0" xfId="3" applyFont="1" applyBorder="1">
      <alignment vertical="center"/>
    </xf>
    <xf numFmtId="38" fontId="0" fillId="0" borderId="0" xfId="3" applyFont="1">
      <alignment vertical="center"/>
    </xf>
    <xf numFmtId="3" fontId="1" fillId="0" borderId="0" xfId="1" applyNumberFormat="1">
      <alignment vertical="center"/>
    </xf>
    <xf numFmtId="3" fontId="1" fillId="0" borderId="3" xfId="1" applyNumberFormat="1" applyBorder="1">
      <alignment vertical="center"/>
    </xf>
    <xf numFmtId="38" fontId="0" fillId="0" borderId="0" xfId="3" applyFont="1" applyFill="1" applyBorder="1">
      <alignment vertical="center"/>
    </xf>
    <xf numFmtId="0" fontId="1" fillId="0" borderId="0" xfId="1" quotePrefix="1">
      <alignment vertical="center"/>
    </xf>
    <xf numFmtId="3" fontId="1" fillId="0" borderId="2" xfId="1" applyNumberFormat="1" applyBorder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 wrapText="1"/>
    </xf>
    <xf numFmtId="49" fontId="1" fillId="0" borderId="0" xfId="1" applyNumberFormat="1">
      <alignment vertical="center"/>
    </xf>
    <xf numFmtId="179" fontId="1" fillId="2" borderId="0" xfId="1" applyNumberFormat="1" applyFill="1">
      <alignment vertical="center"/>
    </xf>
    <xf numFmtId="0" fontId="1" fillId="0" borderId="0" xfId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80" fontId="7" fillId="2" borderId="0" xfId="1" applyNumberFormat="1" applyFont="1" applyFill="1">
      <alignment vertical="center"/>
    </xf>
    <xf numFmtId="0" fontId="8" fillId="0" borderId="0" xfId="1" applyFont="1" applyAlignment="1">
      <alignment vertical="center" shrinkToFit="1"/>
    </xf>
    <xf numFmtId="0" fontId="9" fillId="0" borderId="0" xfId="1" applyFont="1" applyAlignment="1">
      <alignment vertical="center" shrinkToFit="1"/>
    </xf>
    <xf numFmtId="180" fontId="1" fillId="2" borderId="0" xfId="1" applyNumberFormat="1" applyFill="1">
      <alignment vertical="center"/>
    </xf>
    <xf numFmtId="180" fontId="1" fillId="0" borderId="0" xfId="1" applyNumberFormat="1">
      <alignment vertical="center"/>
    </xf>
    <xf numFmtId="0" fontId="0" fillId="0" borderId="0" xfId="0" applyAlignment="1">
      <alignment vertical="center" wrapText="1"/>
    </xf>
    <xf numFmtId="0" fontId="3" fillId="0" borderId="0" xfId="1" applyFont="1">
      <alignment vertical="center"/>
    </xf>
  </cellXfs>
  <cellStyles count="4">
    <cellStyle name="ハイパーリンク" xfId="2" builtinId="8"/>
    <cellStyle name="桁区切り 2" xfId="3" xr:uid="{9E67A063-A4F4-4ECA-9B5D-6EBA2D4BEEC9}"/>
    <cellStyle name="標準" xfId="0" builtinId="0"/>
    <cellStyle name="標準 2" xfId="1" xr:uid="{8F9FECEE-36F4-4C94-AC27-357C7BEA6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22" sqref="D22"/>
    </sheetView>
  </sheetViews>
  <sheetFormatPr defaultRowHeight="18"/>
  <cols>
    <col min="1" max="2" width="15.58203125" customWidth="1"/>
    <col min="3" max="3" width="21.4140625" customWidth="1"/>
    <col min="4" max="6" width="15.58203125" customWidth="1"/>
  </cols>
  <sheetData>
    <row r="1" spans="1:5">
      <c r="A1" t="s">
        <v>203</v>
      </c>
      <c r="B1" t="s">
        <v>204</v>
      </c>
      <c r="C1" t="s">
        <v>205</v>
      </c>
    </row>
    <row r="2" spans="1:5">
      <c r="A2" t="s">
        <v>173</v>
      </c>
      <c r="B2" t="s">
        <v>174</v>
      </c>
      <c r="C2" t="s">
        <v>175</v>
      </c>
      <c r="D2" t="s">
        <v>176</v>
      </c>
      <c r="E2" t="s">
        <v>177</v>
      </c>
    </row>
    <row r="3" spans="1:5">
      <c r="A3" t="s">
        <v>173</v>
      </c>
      <c r="B3" t="s">
        <v>178</v>
      </c>
      <c r="C3" t="s">
        <v>179</v>
      </c>
      <c r="D3" t="s">
        <v>176</v>
      </c>
      <c r="E3" t="s">
        <v>177</v>
      </c>
    </row>
    <row r="4" spans="1:5">
      <c r="A4" t="s">
        <v>173</v>
      </c>
      <c r="B4" t="s">
        <v>180</v>
      </c>
      <c r="C4" t="s">
        <v>181</v>
      </c>
      <c r="D4" t="s">
        <v>176</v>
      </c>
      <c r="E4" t="s">
        <v>177</v>
      </c>
    </row>
    <row r="5" spans="1:5">
      <c r="A5" s="41" t="s">
        <v>207</v>
      </c>
      <c r="B5" s="41" t="s">
        <v>206</v>
      </c>
      <c r="C5" s="41" t="s">
        <v>209</v>
      </c>
      <c r="D5" t="s">
        <v>176</v>
      </c>
    </row>
    <row r="6" spans="1:5">
      <c r="A6" t="s">
        <v>173</v>
      </c>
      <c r="B6" t="s">
        <v>193</v>
      </c>
      <c r="C6" t="s">
        <v>194</v>
      </c>
      <c r="D6" t="s">
        <v>176</v>
      </c>
      <c r="E6" t="s">
        <v>177</v>
      </c>
    </row>
    <row r="7" spans="1:5">
      <c r="A7" t="s">
        <v>173</v>
      </c>
      <c r="B7" t="s">
        <v>195</v>
      </c>
      <c r="C7" t="s">
        <v>196</v>
      </c>
      <c r="D7" t="s">
        <v>197</v>
      </c>
      <c r="E7" t="s">
        <v>177</v>
      </c>
    </row>
    <row r="8" spans="1:5">
      <c r="A8" t="s">
        <v>173</v>
      </c>
      <c r="B8" t="s">
        <v>198</v>
      </c>
      <c r="C8" t="s">
        <v>199</v>
      </c>
      <c r="D8" t="s">
        <v>176</v>
      </c>
      <c r="E8" t="s">
        <v>177</v>
      </c>
    </row>
    <row r="9" spans="1:5">
      <c r="A9" t="s">
        <v>173</v>
      </c>
      <c r="B9" t="s">
        <v>182</v>
      </c>
      <c r="C9" t="s">
        <v>183</v>
      </c>
      <c r="D9" t="s">
        <v>176</v>
      </c>
      <c r="E9" t="s">
        <v>177</v>
      </c>
    </row>
    <row r="10" spans="1:5">
      <c r="A10" t="s">
        <v>173</v>
      </c>
      <c r="B10" t="s">
        <v>184</v>
      </c>
      <c r="C10" t="s">
        <v>185</v>
      </c>
      <c r="D10" t="s">
        <v>176</v>
      </c>
      <c r="E10" t="s">
        <v>177</v>
      </c>
    </row>
    <row r="11" spans="1:5">
      <c r="A11" t="s">
        <v>173</v>
      </c>
      <c r="B11" t="s">
        <v>187</v>
      </c>
      <c r="C11" t="s">
        <v>188</v>
      </c>
      <c r="D11" t="s">
        <v>176</v>
      </c>
      <c r="E11" t="s">
        <v>186</v>
      </c>
    </row>
    <row r="12" spans="1:5">
      <c r="A12" t="s">
        <v>173</v>
      </c>
      <c r="B12" t="s">
        <v>189</v>
      </c>
      <c r="C12" t="s">
        <v>190</v>
      </c>
      <c r="D12" t="s">
        <v>176</v>
      </c>
    </row>
    <row r="13" spans="1:5">
      <c r="A13" t="s">
        <v>173</v>
      </c>
      <c r="B13" t="s">
        <v>191</v>
      </c>
      <c r="C13" t="s">
        <v>192</v>
      </c>
      <c r="D13" t="s">
        <v>176</v>
      </c>
    </row>
    <row r="14" spans="1:5">
      <c r="A14" t="s">
        <v>173</v>
      </c>
      <c r="B14" t="s">
        <v>200</v>
      </c>
      <c r="C14" t="s">
        <v>201</v>
      </c>
      <c r="D14" t="s">
        <v>176</v>
      </c>
      <c r="E14" t="s">
        <v>186</v>
      </c>
    </row>
    <row r="15" spans="1:5">
      <c r="A15" t="s">
        <v>173</v>
      </c>
      <c r="B15" t="s">
        <v>202</v>
      </c>
      <c r="C15" t="s">
        <v>208</v>
      </c>
      <c r="D15" t="s">
        <v>176</v>
      </c>
      <c r="E15" t="s">
        <v>186</v>
      </c>
    </row>
    <row r="16" spans="1:5">
      <c r="A16" t="s">
        <v>173</v>
      </c>
      <c r="B16" t="s">
        <v>210</v>
      </c>
      <c r="C16" t="s">
        <v>211</v>
      </c>
      <c r="D16" t="s">
        <v>176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0BF7-384D-4014-8AED-F6EB63E5EA67}">
  <dimension ref="A1:B3"/>
  <sheetViews>
    <sheetView workbookViewId="0">
      <selection sqref="A1:A3"/>
    </sheetView>
  </sheetViews>
  <sheetFormatPr defaultRowHeight="18"/>
  <sheetData>
    <row r="1" spans="1:2">
      <c r="A1" t="s">
        <v>212</v>
      </c>
      <c r="B1">
        <v>2.96</v>
      </c>
    </row>
    <row r="2" spans="1:2">
      <c r="A2" t="s">
        <v>213</v>
      </c>
      <c r="B2">
        <v>83304000</v>
      </c>
    </row>
    <row r="3" spans="1:2">
      <c r="A3" t="s">
        <v>214</v>
      </c>
      <c r="B3">
        <v>736500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F643-97F1-4702-AE1D-3F5879EBF956}">
  <dimension ref="A1:R37"/>
  <sheetViews>
    <sheetView zoomScaleNormal="100" zoomScaleSheetLayoutView="100" workbookViewId="0">
      <pane xSplit="1" ySplit="1" topLeftCell="C2" activePane="bottomRight" state="frozen"/>
      <selection pane="topRight" activeCell="D1" sqref="D1"/>
      <selection pane="bottomLeft" activeCell="A4" sqref="A4"/>
      <selection pane="bottomRight" activeCell="F10" sqref="F10"/>
    </sheetView>
  </sheetViews>
  <sheetFormatPr defaultRowHeight="18"/>
  <cols>
    <col min="1" max="1" width="15.6640625" style="6" customWidth="1"/>
    <col min="2" max="14" width="10.6640625" style="6" customWidth="1"/>
    <col min="15" max="16" width="10.6640625" style="6" hidden="1" customWidth="1"/>
    <col min="17" max="18" width="10.6640625" style="6" customWidth="1"/>
    <col min="19" max="16384" width="8.6640625" style="6"/>
  </cols>
  <sheetData>
    <row r="1" spans="1:18" s="1" customForma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1" t="s">
        <v>13</v>
      </c>
      <c r="R1" s="1" t="s">
        <v>14</v>
      </c>
    </row>
    <row r="2" spans="1:18">
      <c r="A2" s="3" t="s">
        <v>15</v>
      </c>
      <c r="B2" s="4">
        <v>1563</v>
      </c>
      <c r="C2" s="5">
        <v>5.1650671785028788</v>
      </c>
      <c r="D2" s="6">
        <v>8073</v>
      </c>
      <c r="E2" s="6">
        <v>832</v>
      </c>
      <c r="F2" s="6">
        <v>89</v>
      </c>
      <c r="G2" s="6">
        <v>-255</v>
      </c>
      <c r="H2" s="6">
        <v>8236</v>
      </c>
      <c r="I2" s="6">
        <v>805</v>
      </c>
      <c r="J2" s="6">
        <v>36</v>
      </c>
      <c r="K2" s="6">
        <v>229</v>
      </c>
      <c r="L2" s="6">
        <v>10</v>
      </c>
      <c r="M2" s="6">
        <v>143</v>
      </c>
      <c r="N2" s="6">
        <v>7013</v>
      </c>
      <c r="O2" s="6">
        <v>56.1</v>
      </c>
      <c r="P2" s="6">
        <v>153.80000000000001</v>
      </c>
      <c r="Q2" s="6">
        <v>90.6</v>
      </c>
      <c r="R2" s="6">
        <v>6354</v>
      </c>
    </row>
    <row r="3" spans="1:18">
      <c r="A3" s="3" t="s">
        <v>16</v>
      </c>
      <c r="B3" s="7">
        <v>227.3</v>
      </c>
      <c r="C3" s="8">
        <v>4.37</v>
      </c>
      <c r="D3" s="6">
        <v>994</v>
      </c>
      <c r="E3" s="6">
        <v>5512</v>
      </c>
      <c r="F3" s="6">
        <v>0</v>
      </c>
      <c r="G3" s="6">
        <v>37</v>
      </c>
      <c r="H3" s="6">
        <v>6469</v>
      </c>
      <c r="I3" s="6">
        <v>932</v>
      </c>
      <c r="J3" s="6">
        <v>21</v>
      </c>
      <c r="K3" s="6">
        <v>282</v>
      </c>
      <c r="L3" s="6">
        <v>7</v>
      </c>
      <c r="M3" s="6">
        <v>157</v>
      </c>
      <c r="N3" s="6">
        <v>5070</v>
      </c>
      <c r="O3" s="6">
        <v>40.6</v>
      </c>
      <c r="P3" s="6">
        <v>111.2</v>
      </c>
      <c r="Q3" s="6">
        <v>78</v>
      </c>
      <c r="R3" s="6">
        <v>3955</v>
      </c>
    </row>
    <row r="4" spans="1:18">
      <c r="A4" s="3" t="s">
        <v>17</v>
      </c>
      <c r="B4" s="7">
        <v>227.3</v>
      </c>
      <c r="C4" s="8">
        <v>4.37</v>
      </c>
      <c r="D4" s="6">
        <v>994</v>
      </c>
      <c r="E4" s="6">
        <v>5512</v>
      </c>
      <c r="F4" s="6">
        <v>0</v>
      </c>
      <c r="G4" s="6">
        <v>37</v>
      </c>
      <c r="H4" s="6">
        <v>6469</v>
      </c>
      <c r="I4" s="6">
        <v>932</v>
      </c>
      <c r="J4" s="6">
        <v>21</v>
      </c>
      <c r="K4" s="6">
        <v>282</v>
      </c>
      <c r="L4" s="6">
        <v>7</v>
      </c>
      <c r="M4" s="6">
        <v>157</v>
      </c>
      <c r="N4" s="6">
        <v>5070</v>
      </c>
      <c r="O4" s="6">
        <v>40.6</v>
      </c>
      <c r="P4" s="6">
        <v>111.2</v>
      </c>
      <c r="Q4" s="6">
        <v>78</v>
      </c>
      <c r="R4" s="6">
        <v>3955</v>
      </c>
    </row>
    <row r="5" spans="1:18">
      <c r="A5" s="3" t="s">
        <v>18</v>
      </c>
      <c r="B5" s="4">
        <v>57.4</v>
      </c>
      <c r="C5" s="5">
        <v>3.77</v>
      </c>
      <c r="D5" s="6">
        <v>216</v>
      </c>
      <c r="E5" s="6">
        <v>1830</v>
      </c>
      <c r="F5" s="6">
        <v>0</v>
      </c>
      <c r="G5" s="6">
        <v>81</v>
      </c>
      <c r="H5" s="6">
        <v>1965</v>
      </c>
      <c r="I5" s="6">
        <v>1088</v>
      </c>
      <c r="J5" s="6">
        <v>4</v>
      </c>
      <c r="K5" s="6">
        <v>810</v>
      </c>
      <c r="L5" s="6">
        <v>0</v>
      </c>
      <c r="M5" s="6">
        <v>2</v>
      </c>
      <c r="N5" s="6">
        <v>61</v>
      </c>
      <c r="O5" s="6">
        <v>0.5</v>
      </c>
      <c r="P5" s="6">
        <v>1.3</v>
      </c>
      <c r="Q5" s="6">
        <v>46</v>
      </c>
      <c r="R5" s="6">
        <v>28</v>
      </c>
    </row>
    <row r="6" spans="1:18">
      <c r="A6" s="3" t="s">
        <v>19</v>
      </c>
      <c r="B6" s="4">
        <v>57.4</v>
      </c>
      <c r="C6" s="5">
        <v>3.77</v>
      </c>
      <c r="D6" s="6">
        <v>216</v>
      </c>
      <c r="E6" s="6">
        <v>1830</v>
      </c>
      <c r="F6" s="6">
        <v>0</v>
      </c>
      <c r="G6" s="6">
        <v>81</v>
      </c>
      <c r="H6" s="6">
        <v>1965</v>
      </c>
      <c r="I6" s="6">
        <v>1088</v>
      </c>
      <c r="J6" s="6">
        <v>4</v>
      </c>
      <c r="K6" s="6">
        <v>810</v>
      </c>
      <c r="L6" s="6">
        <v>0</v>
      </c>
      <c r="M6" s="6">
        <v>2</v>
      </c>
      <c r="N6" s="6">
        <v>61</v>
      </c>
      <c r="O6" s="6">
        <v>0.5</v>
      </c>
      <c r="P6" s="6">
        <v>1.3</v>
      </c>
      <c r="Q6" s="6">
        <v>46</v>
      </c>
      <c r="R6" s="6">
        <v>28</v>
      </c>
    </row>
    <row r="7" spans="1:18">
      <c r="A7" s="3" t="s">
        <v>20</v>
      </c>
      <c r="B7" s="7">
        <v>5.87</v>
      </c>
      <c r="C7" s="8">
        <v>2.9</v>
      </c>
      <c r="D7" s="6">
        <v>17</v>
      </c>
      <c r="E7" s="6">
        <v>11</v>
      </c>
      <c r="F7" s="6">
        <v>0</v>
      </c>
      <c r="G7" s="6">
        <v>-3</v>
      </c>
      <c r="H7" s="6">
        <v>31</v>
      </c>
      <c r="I7" s="6">
        <v>0</v>
      </c>
      <c r="J7" s="6">
        <v>0</v>
      </c>
      <c r="K7" s="6">
        <v>7</v>
      </c>
      <c r="L7" s="6">
        <v>0</v>
      </c>
      <c r="M7" s="6">
        <v>1</v>
      </c>
      <c r="N7" s="6">
        <v>23</v>
      </c>
      <c r="O7" s="6">
        <v>0.2</v>
      </c>
      <c r="P7" s="6">
        <v>0.5</v>
      </c>
      <c r="Q7" s="6">
        <v>57</v>
      </c>
      <c r="R7" s="6">
        <v>13</v>
      </c>
    </row>
    <row r="8" spans="1:18">
      <c r="A8" s="3" t="s">
        <v>21</v>
      </c>
      <c r="B8" s="4">
        <v>0.1</v>
      </c>
      <c r="C8" s="5">
        <v>3.33</v>
      </c>
      <c r="D8" s="6">
        <v>0</v>
      </c>
      <c r="E8" s="6">
        <v>15062</v>
      </c>
      <c r="F8" s="6">
        <v>0</v>
      </c>
      <c r="G8" s="6">
        <v>110</v>
      </c>
      <c r="H8" s="6">
        <v>14952</v>
      </c>
      <c r="I8" s="6">
        <v>11633</v>
      </c>
      <c r="J8" s="6">
        <v>3</v>
      </c>
      <c r="K8" s="6">
        <v>3207</v>
      </c>
      <c r="L8" s="6">
        <v>0</v>
      </c>
      <c r="M8" s="6">
        <v>3</v>
      </c>
      <c r="N8" s="6">
        <v>106</v>
      </c>
      <c r="O8" s="6">
        <v>0.8</v>
      </c>
      <c r="P8" s="6">
        <v>2.2999999999999998</v>
      </c>
      <c r="Q8" s="6">
        <v>63.5</v>
      </c>
      <c r="R8" s="6">
        <v>68</v>
      </c>
    </row>
    <row r="9" spans="1:18">
      <c r="A9" s="3" t="s">
        <v>22</v>
      </c>
      <c r="B9" s="4">
        <v>1.511E-2</v>
      </c>
      <c r="C9" s="5">
        <v>0.99272005294506949</v>
      </c>
      <c r="D9" s="6">
        <v>0</v>
      </c>
      <c r="E9" s="6">
        <v>256</v>
      </c>
      <c r="F9" s="6">
        <v>0</v>
      </c>
      <c r="G9" s="6">
        <v>25</v>
      </c>
      <c r="H9" s="6">
        <v>231</v>
      </c>
      <c r="I9" s="6">
        <v>231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75</v>
      </c>
      <c r="R9" s="6">
        <v>0</v>
      </c>
    </row>
    <row r="10" spans="1:18">
      <c r="A10" s="3" t="s">
        <v>23</v>
      </c>
      <c r="B10" s="4">
        <v>65.779730000000001</v>
      </c>
      <c r="C10" s="5">
        <v>0.61243790450340863</v>
      </c>
      <c r="D10" s="6">
        <v>40</v>
      </c>
      <c r="E10" s="6">
        <v>138</v>
      </c>
      <c r="F10" s="6">
        <v>0</v>
      </c>
      <c r="G10" s="6">
        <v>-6</v>
      </c>
      <c r="H10" s="6">
        <v>184</v>
      </c>
      <c r="I10" s="6">
        <v>43</v>
      </c>
      <c r="J10" s="6">
        <v>9</v>
      </c>
      <c r="K10" s="6">
        <v>0</v>
      </c>
      <c r="L10" s="6">
        <v>0</v>
      </c>
      <c r="M10" s="6">
        <v>4</v>
      </c>
      <c r="N10" s="6">
        <v>128</v>
      </c>
      <c r="O10" s="6">
        <v>1</v>
      </c>
      <c r="P10" s="6">
        <v>2.8</v>
      </c>
      <c r="Q10" s="6">
        <v>65.599999999999994</v>
      </c>
      <c r="R10" s="6">
        <v>84</v>
      </c>
    </row>
    <row r="11" spans="1:18">
      <c r="A11" s="3" t="s">
        <v>24</v>
      </c>
      <c r="B11" s="7">
        <v>32.299999999999997</v>
      </c>
      <c r="C11" s="8">
        <v>22</v>
      </c>
      <c r="D11" s="6">
        <v>711</v>
      </c>
      <c r="E11" s="6">
        <v>50</v>
      </c>
      <c r="F11" s="6">
        <v>17</v>
      </c>
      <c r="G11" s="6">
        <v>0</v>
      </c>
      <c r="H11" s="6">
        <v>744</v>
      </c>
      <c r="I11" s="6">
        <v>2</v>
      </c>
      <c r="J11" s="6">
        <v>12</v>
      </c>
      <c r="K11" s="6">
        <v>196</v>
      </c>
      <c r="L11" s="6">
        <v>1</v>
      </c>
      <c r="M11" s="6">
        <v>5</v>
      </c>
      <c r="N11" s="6">
        <v>528</v>
      </c>
      <c r="O11" s="6">
        <v>4.2</v>
      </c>
      <c r="P11" s="6">
        <v>11.6</v>
      </c>
      <c r="Q11" s="6">
        <v>91</v>
      </c>
      <c r="R11" s="6">
        <v>480</v>
      </c>
    </row>
    <row r="12" spans="1:18">
      <c r="A12" s="3" t="s">
        <v>25</v>
      </c>
      <c r="B12" s="7">
        <v>32.299999999999997</v>
      </c>
      <c r="C12" s="8">
        <v>22</v>
      </c>
      <c r="D12" s="6">
        <v>711</v>
      </c>
      <c r="E12" s="6">
        <v>50</v>
      </c>
      <c r="F12" s="6">
        <v>17</v>
      </c>
      <c r="G12" s="6">
        <v>0</v>
      </c>
      <c r="H12" s="6">
        <v>744</v>
      </c>
      <c r="I12" s="6">
        <v>2</v>
      </c>
      <c r="J12" s="6">
        <v>12</v>
      </c>
      <c r="K12" s="6">
        <v>196</v>
      </c>
      <c r="L12" s="6">
        <v>1</v>
      </c>
      <c r="M12" s="6">
        <v>5</v>
      </c>
      <c r="N12" s="6">
        <v>528</v>
      </c>
      <c r="O12" s="6">
        <v>4.2</v>
      </c>
      <c r="P12" s="6">
        <v>11.6</v>
      </c>
      <c r="Q12" s="6">
        <v>91</v>
      </c>
      <c r="R12" s="6">
        <v>480</v>
      </c>
    </row>
    <row r="13" spans="1:18">
      <c r="A13" s="3" t="s">
        <v>26</v>
      </c>
      <c r="B13" s="7">
        <v>71.400000000000006</v>
      </c>
      <c r="C13" s="8">
        <v>32</v>
      </c>
      <c r="D13" s="6">
        <v>2284</v>
      </c>
      <c r="E13" s="6">
        <v>1257</v>
      </c>
      <c r="F13" s="6">
        <v>13</v>
      </c>
      <c r="G13" s="6">
        <v>0</v>
      </c>
      <c r="H13" s="6">
        <v>3528</v>
      </c>
      <c r="I13" s="6">
        <v>2</v>
      </c>
      <c r="J13" s="6">
        <v>146</v>
      </c>
      <c r="K13" s="6">
        <v>851</v>
      </c>
      <c r="L13" s="6">
        <v>4</v>
      </c>
      <c r="M13" s="6">
        <v>132</v>
      </c>
      <c r="N13" s="6">
        <v>2393</v>
      </c>
      <c r="O13" s="6">
        <v>19.2</v>
      </c>
      <c r="P13" s="6">
        <v>52.5</v>
      </c>
      <c r="Q13" s="6">
        <v>90</v>
      </c>
      <c r="R13" s="6">
        <v>2154</v>
      </c>
    </row>
    <row r="14" spans="1:18">
      <c r="A14" s="3" t="s">
        <v>27</v>
      </c>
      <c r="B14" s="7">
        <v>71.400000000000006</v>
      </c>
      <c r="C14" s="8">
        <v>32</v>
      </c>
      <c r="D14" s="6">
        <v>2284</v>
      </c>
      <c r="E14" s="6">
        <v>1257</v>
      </c>
      <c r="F14" s="6">
        <v>13</v>
      </c>
      <c r="G14" s="6">
        <v>0</v>
      </c>
      <c r="H14" s="6">
        <v>3528</v>
      </c>
      <c r="I14" s="6">
        <v>2</v>
      </c>
      <c r="J14" s="6">
        <v>146</v>
      </c>
      <c r="K14" s="6">
        <v>851</v>
      </c>
      <c r="L14" s="6">
        <v>4</v>
      </c>
      <c r="M14" s="6">
        <v>132</v>
      </c>
      <c r="N14" s="6">
        <v>2393</v>
      </c>
      <c r="O14" s="6">
        <v>19.2</v>
      </c>
      <c r="P14" s="6">
        <v>52.5</v>
      </c>
      <c r="Q14" s="6">
        <v>90</v>
      </c>
      <c r="R14" s="6">
        <v>2154</v>
      </c>
    </row>
    <row r="15" spans="1:18">
      <c r="A15" s="3" t="s">
        <v>28</v>
      </c>
      <c r="B15" s="7">
        <v>151.6</v>
      </c>
      <c r="C15" s="8">
        <v>1.6</v>
      </c>
      <c r="D15" s="6">
        <v>243</v>
      </c>
      <c r="E15" s="6">
        <v>3704</v>
      </c>
      <c r="F15" s="6">
        <v>0</v>
      </c>
      <c r="G15" s="6">
        <v>52</v>
      </c>
      <c r="H15" s="6">
        <v>3895</v>
      </c>
      <c r="I15" s="6">
        <v>80</v>
      </c>
      <c r="J15" s="6">
        <v>9</v>
      </c>
      <c r="K15" s="6">
        <v>2890</v>
      </c>
      <c r="L15" s="6">
        <v>1</v>
      </c>
      <c r="M15" s="6">
        <v>74</v>
      </c>
      <c r="N15" s="6">
        <v>841</v>
      </c>
      <c r="O15" s="6">
        <v>6.7</v>
      </c>
      <c r="P15" s="6">
        <v>18.399999999999999</v>
      </c>
      <c r="Q15" s="6">
        <v>100</v>
      </c>
      <c r="R15" s="6">
        <v>841</v>
      </c>
    </row>
    <row r="16" spans="1:18">
      <c r="A16" s="3" t="s">
        <v>29</v>
      </c>
      <c r="B16" s="7">
        <v>151.6</v>
      </c>
      <c r="C16" s="8">
        <v>1.6</v>
      </c>
      <c r="D16" s="6">
        <v>243</v>
      </c>
      <c r="E16" s="6">
        <v>3704</v>
      </c>
      <c r="F16" s="6">
        <v>0</v>
      </c>
      <c r="G16" s="6">
        <v>52</v>
      </c>
      <c r="H16" s="6">
        <v>3895</v>
      </c>
      <c r="I16" s="6">
        <v>80</v>
      </c>
      <c r="J16" s="6">
        <v>9</v>
      </c>
      <c r="K16" s="6">
        <v>2890</v>
      </c>
      <c r="L16" s="6">
        <v>1</v>
      </c>
      <c r="M16" s="6">
        <v>74</v>
      </c>
      <c r="N16" s="6">
        <v>841</v>
      </c>
      <c r="O16" s="6">
        <v>6.7</v>
      </c>
      <c r="P16" s="6">
        <v>18.399999999999999</v>
      </c>
      <c r="Q16" s="6">
        <v>100</v>
      </c>
      <c r="R16" s="6">
        <v>841</v>
      </c>
    </row>
    <row r="17" spans="1:18">
      <c r="A17" s="3" t="s">
        <v>30</v>
      </c>
      <c r="B17" s="4">
        <v>35.29</v>
      </c>
      <c r="C17" s="5">
        <v>1.9305752337772739</v>
      </c>
      <c r="D17" s="6">
        <v>70</v>
      </c>
      <c r="E17" s="6">
        <v>265</v>
      </c>
      <c r="F17" s="6">
        <v>0</v>
      </c>
      <c r="G17" s="6">
        <v>-49</v>
      </c>
      <c r="H17" s="6">
        <v>384</v>
      </c>
      <c r="I17" s="6">
        <v>0</v>
      </c>
      <c r="J17" s="6">
        <v>2</v>
      </c>
      <c r="K17" s="6">
        <v>53</v>
      </c>
      <c r="L17" s="6">
        <v>0</v>
      </c>
      <c r="M17" s="6">
        <v>10</v>
      </c>
      <c r="N17" s="6">
        <v>319</v>
      </c>
      <c r="O17" s="6">
        <v>2.6</v>
      </c>
      <c r="P17" s="6">
        <v>7</v>
      </c>
      <c r="Q17" s="6">
        <v>88.1</v>
      </c>
      <c r="R17" s="6">
        <v>281</v>
      </c>
    </row>
    <row r="18" spans="1:18">
      <c r="A18" s="3" t="s">
        <v>31</v>
      </c>
      <c r="B18" s="4">
        <v>365.61700000000002</v>
      </c>
      <c r="C18" s="5">
        <v>28.865123886471366</v>
      </c>
      <c r="D18" s="6">
        <v>11237</v>
      </c>
      <c r="E18" s="6">
        <v>2970</v>
      </c>
      <c r="F18" s="6">
        <v>35</v>
      </c>
      <c r="G18" s="6">
        <v>0</v>
      </c>
      <c r="H18" s="6">
        <v>14172</v>
      </c>
      <c r="I18" s="6">
        <v>0</v>
      </c>
      <c r="J18" s="6">
        <v>0</v>
      </c>
      <c r="K18" s="6">
        <v>0</v>
      </c>
      <c r="L18" s="6">
        <v>15</v>
      </c>
      <c r="M18" s="6">
        <v>1490</v>
      </c>
      <c r="N18" s="6">
        <v>12667</v>
      </c>
      <c r="O18" s="6">
        <v>101.4</v>
      </c>
      <c r="P18" s="6">
        <v>277.8</v>
      </c>
      <c r="Q18" s="6">
        <v>86.9</v>
      </c>
      <c r="R18" s="6">
        <v>11009</v>
      </c>
    </row>
    <row r="19" spans="1:18">
      <c r="A19" s="3" t="s">
        <v>32</v>
      </c>
      <c r="B19" s="7">
        <v>36.200000000000003</v>
      </c>
      <c r="C19" s="8">
        <v>18.8</v>
      </c>
      <c r="D19" s="6">
        <v>682</v>
      </c>
      <c r="E19" s="6">
        <v>0</v>
      </c>
      <c r="F19" s="6">
        <v>1</v>
      </c>
      <c r="G19" s="6">
        <v>11</v>
      </c>
      <c r="H19" s="6">
        <v>670</v>
      </c>
      <c r="I19" s="6">
        <v>0</v>
      </c>
      <c r="J19" s="6">
        <v>0</v>
      </c>
      <c r="K19" s="6">
        <v>0</v>
      </c>
      <c r="L19" s="6">
        <v>1</v>
      </c>
      <c r="M19" s="6">
        <v>101</v>
      </c>
      <c r="N19" s="6">
        <v>568</v>
      </c>
      <c r="O19" s="6">
        <v>4.5</v>
      </c>
      <c r="P19" s="6">
        <v>12.5</v>
      </c>
      <c r="Q19" s="6">
        <v>75</v>
      </c>
      <c r="R19" s="6">
        <v>426</v>
      </c>
    </row>
    <row r="20" spans="1:18">
      <c r="A20" s="3" t="s">
        <v>33</v>
      </c>
      <c r="B20" s="7">
        <v>35.1</v>
      </c>
      <c r="C20" s="8">
        <v>21</v>
      </c>
      <c r="D20" s="6">
        <v>737</v>
      </c>
      <c r="E20" s="6">
        <v>559</v>
      </c>
      <c r="F20" s="6">
        <v>53</v>
      </c>
      <c r="G20" s="6">
        <v>-2</v>
      </c>
      <c r="H20" s="6">
        <v>1245</v>
      </c>
      <c r="I20" s="6">
        <v>0</v>
      </c>
      <c r="J20" s="6">
        <v>0</v>
      </c>
      <c r="K20" s="6">
        <v>0</v>
      </c>
      <c r="L20" s="6">
        <v>2</v>
      </c>
      <c r="M20" s="6">
        <v>125</v>
      </c>
      <c r="N20" s="6">
        <v>1118</v>
      </c>
      <c r="O20" s="6">
        <v>8.9</v>
      </c>
      <c r="P20" s="6">
        <v>24.5</v>
      </c>
      <c r="Q20" s="6">
        <v>85</v>
      </c>
      <c r="R20" s="6">
        <v>950</v>
      </c>
    </row>
    <row r="21" spans="1:18">
      <c r="A21" s="3" t="s">
        <v>34</v>
      </c>
      <c r="B21" s="4">
        <v>94.748000000000005</v>
      </c>
      <c r="C21" s="5">
        <v>9.485688352260734</v>
      </c>
      <c r="D21" s="6">
        <v>1226</v>
      </c>
      <c r="E21" s="6">
        <v>3674</v>
      </c>
      <c r="F21" s="6">
        <v>32</v>
      </c>
      <c r="G21" s="6">
        <v>0</v>
      </c>
      <c r="H21" s="6">
        <v>4868</v>
      </c>
      <c r="I21" s="6">
        <v>0</v>
      </c>
      <c r="J21" s="6">
        <v>0</v>
      </c>
      <c r="K21" s="6">
        <v>18</v>
      </c>
      <c r="L21" s="6">
        <v>5</v>
      </c>
      <c r="M21" s="6">
        <v>900</v>
      </c>
      <c r="N21" s="6">
        <v>3945</v>
      </c>
      <c r="O21" s="6">
        <v>31.6</v>
      </c>
      <c r="P21" s="6">
        <v>86.5</v>
      </c>
      <c r="Q21" s="6">
        <v>70.2</v>
      </c>
      <c r="R21" s="6">
        <v>2768</v>
      </c>
    </row>
    <row r="22" spans="1:18">
      <c r="A22" s="3" t="s">
        <v>35</v>
      </c>
      <c r="B22" s="6">
        <v>23.2</v>
      </c>
      <c r="C22" s="6">
        <v>54.8</v>
      </c>
      <c r="D22" s="6">
        <v>1272</v>
      </c>
      <c r="E22" s="6">
        <v>0</v>
      </c>
      <c r="F22" s="6">
        <v>0</v>
      </c>
      <c r="G22" s="6">
        <v>0</v>
      </c>
      <c r="H22" s="6">
        <v>1272</v>
      </c>
      <c r="I22" s="6">
        <v>0</v>
      </c>
      <c r="J22" s="6">
        <v>0</v>
      </c>
      <c r="K22" s="6">
        <v>1272</v>
      </c>
      <c r="L22" s="6">
        <v>0</v>
      </c>
      <c r="M22" s="6">
        <v>0</v>
      </c>
      <c r="N22" s="6">
        <v>0</v>
      </c>
      <c r="Q22" s="6">
        <v>0</v>
      </c>
      <c r="R22" s="6">
        <v>0</v>
      </c>
    </row>
    <row r="23" spans="1:18">
      <c r="A23" s="3" t="s">
        <v>36</v>
      </c>
      <c r="B23" s="6">
        <v>55.4</v>
      </c>
      <c r="C23" s="6">
        <v>64</v>
      </c>
      <c r="D23" s="6">
        <v>3545</v>
      </c>
      <c r="E23" s="6">
        <v>0</v>
      </c>
      <c r="F23" s="6">
        <v>0</v>
      </c>
      <c r="G23" s="6">
        <v>0</v>
      </c>
      <c r="H23" s="6">
        <v>3545</v>
      </c>
      <c r="I23" s="6">
        <v>0</v>
      </c>
      <c r="J23" s="6">
        <v>0</v>
      </c>
      <c r="K23" s="6">
        <v>3545</v>
      </c>
      <c r="L23" s="6">
        <v>0</v>
      </c>
      <c r="M23" s="6">
        <v>0</v>
      </c>
      <c r="N23" s="6">
        <v>0</v>
      </c>
      <c r="Q23" s="6">
        <v>0</v>
      </c>
      <c r="R23" s="6">
        <v>0</v>
      </c>
    </row>
    <row r="24" spans="1:18">
      <c r="A24" s="3" t="s">
        <v>37</v>
      </c>
      <c r="B24" s="9">
        <v>1.74</v>
      </c>
      <c r="C24" s="9">
        <v>2.11</v>
      </c>
      <c r="D24" s="9">
        <v>3.6713999999999998</v>
      </c>
      <c r="E24" s="10">
        <v>2100.7719999999999</v>
      </c>
      <c r="F24" s="10">
        <v>0</v>
      </c>
      <c r="G24" s="10">
        <v>0</v>
      </c>
      <c r="H24" s="10">
        <v>2104.4434000000001</v>
      </c>
      <c r="I24" s="10">
        <v>0</v>
      </c>
      <c r="J24" s="10">
        <v>0</v>
      </c>
      <c r="K24" s="10">
        <v>2104.4434000000001</v>
      </c>
      <c r="L24" s="10">
        <v>0</v>
      </c>
      <c r="M24" s="10">
        <v>0</v>
      </c>
      <c r="N24" s="10">
        <v>0</v>
      </c>
      <c r="O24" s="10"/>
      <c r="P24" s="10"/>
      <c r="Q24" s="10">
        <v>0</v>
      </c>
      <c r="R24" s="10">
        <v>0</v>
      </c>
    </row>
    <row r="25" spans="1:18">
      <c r="A25" s="3" t="s">
        <v>38</v>
      </c>
      <c r="D25" s="6">
        <v>2296</v>
      </c>
      <c r="E25" s="6">
        <v>147</v>
      </c>
      <c r="F25" s="6">
        <v>0</v>
      </c>
      <c r="G25" s="6">
        <v>-19</v>
      </c>
      <c r="H25" s="6">
        <v>2462</v>
      </c>
      <c r="I25" s="6">
        <v>0</v>
      </c>
      <c r="J25" s="6">
        <v>0</v>
      </c>
      <c r="K25" s="6">
        <v>504</v>
      </c>
      <c r="L25" s="6">
        <v>2</v>
      </c>
      <c r="M25" s="6">
        <v>0</v>
      </c>
      <c r="N25" s="6">
        <v>1956</v>
      </c>
      <c r="O25" s="6">
        <v>15.7</v>
      </c>
      <c r="P25" s="6">
        <v>42.9</v>
      </c>
      <c r="Q25" s="6">
        <v>100</v>
      </c>
      <c r="R25" s="6">
        <v>1956</v>
      </c>
    </row>
    <row r="26" spans="1:18">
      <c r="A26" s="3" t="s">
        <v>39</v>
      </c>
      <c r="D26" s="6">
        <v>3477</v>
      </c>
      <c r="E26" s="6">
        <v>3781</v>
      </c>
      <c r="F26" s="6">
        <v>789</v>
      </c>
      <c r="G26" s="6">
        <v>44</v>
      </c>
      <c r="H26" s="6">
        <v>6425</v>
      </c>
      <c r="I26" s="6">
        <v>1375</v>
      </c>
      <c r="J26" s="6">
        <v>0</v>
      </c>
      <c r="K26" s="6">
        <v>0</v>
      </c>
      <c r="L26" s="6">
        <v>7</v>
      </c>
      <c r="M26" s="6">
        <v>0</v>
      </c>
      <c r="N26" s="6">
        <v>5043</v>
      </c>
      <c r="O26" s="6">
        <v>40.4</v>
      </c>
      <c r="P26" s="6">
        <v>110.6</v>
      </c>
      <c r="Q26" s="6">
        <v>54.5</v>
      </c>
      <c r="R26" s="6">
        <v>2749</v>
      </c>
    </row>
    <row r="27" spans="1:18">
      <c r="A27" s="3" t="s">
        <v>40</v>
      </c>
      <c r="D27" s="6">
        <v>76</v>
      </c>
      <c r="E27" s="6">
        <v>39</v>
      </c>
      <c r="F27" s="6">
        <v>2</v>
      </c>
      <c r="G27" s="6">
        <v>0</v>
      </c>
      <c r="H27" s="6">
        <v>113</v>
      </c>
      <c r="I27" s="6">
        <v>0</v>
      </c>
      <c r="J27" s="6">
        <v>0</v>
      </c>
      <c r="K27" s="6">
        <v>18</v>
      </c>
      <c r="L27" s="6">
        <v>0</v>
      </c>
      <c r="M27" s="6">
        <v>0</v>
      </c>
      <c r="N27" s="6">
        <v>95</v>
      </c>
      <c r="O27" s="6">
        <v>0.8</v>
      </c>
      <c r="P27" s="6">
        <v>2.1</v>
      </c>
      <c r="Q27" s="6">
        <v>100</v>
      </c>
      <c r="R27" s="6">
        <v>95</v>
      </c>
    </row>
    <row r="28" spans="1:18">
      <c r="A28" s="3" t="s">
        <v>41</v>
      </c>
      <c r="D28" s="6">
        <v>1789</v>
      </c>
      <c r="E28" s="6">
        <v>411</v>
      </c>
      <c r="F28" s="6">
        <v>2</v>
      </c>
      <c r="G28" s="6">
        <v>30</v>
      </c>
      <c r="H28" s="6">
        <v>2168</v>
      </c>
      <c r="I28" s="6">
        <v>2</v>
      </c>
      <c r="J28" s="6">
        <v>0</v>
      </c>
      <c r="K28" s="6">
        <v>21</v>
      </c>
      <c r="L28" s="6">
        <v>3</v>
      </c>
      <c r="M28" s="6">
        <v>17</v>
      </c>
      <c r="N28" s="6">
        <v>2125</v>
      </c>
      <c r="O28" s="6">
        <v>17</v>
      </c>
      <c r="P28" s="6">
        <v>46.6</v>
      </c>
      <c r="Q28" s="6">
        <v>100</v>
      </c>
      <c r="R28" s="6">
        <v>2125</v>
      </c>
    </row>
    <row r="29" spans="1:18">
      <c r="A29" s="3" t="s">
        <v>42</v>
      </c>
      <c r="D29" s="6">
        <v>886</v>
      </c>
      <c r="E29" s="6">
        <v>28</v>
      </c>
      <c r="F29" s="6">
        <v>9</v>
      </c>
      <c r="G29" s="6">
        <v>37</v>
      </c>
      <c r="H29" s="6">
        <v>868</v>
      </c>
      <c r="I29" s="6">
        <v>0</v>
      </c>
      <c r="J29" s="6">
        <v>0</v>
      </c>
      <c r="K29" s="6">
        <v>55</v>
      </c>
      <c r="L29" s="6">
        <v>1</v>
      </c>
      <c r="M29" s="6">
        <v>5</v>
      </c>
      <c r="N29" s="6">
        <v>807</v>
      </c>
      <c r="O29" s="6">
        <v>6.5</v>
      </c>
      <c r="P29" s="6">
        <v>17.7</v>
      </c>
      <c r="Q29" s="6">
        <v>73.8</v>
      </c>
      <c r="R29" s="6">
        <v>595</v>
      </c>
    </row>
    <row r="30" spans="1:18">
      <c r="A30" s="3" t="s">
        <v>43</v>
      </c>
      <c r="D30" s="6">
        <v>467</v>
      </c>
      <c r="E30" s="6">
        <v>0</v>
      </c>
      <c r="F30" s="6">
        <v>21</v>
      </c>
      <c r="G30" s="6">
        <v>0</v>
      </c>
      <c r="H30" s="6">
        <v>446</v>
      </c>
      <c r="I30" s="6">
        <v>0</v>
      </c>
      <c r="J30" s="6">
        <v>0</v>
      </c>
      <c r="K30" s="6">
        <v>0</v>
      </c>
      <c r="L30" s="6">
        <v>1</v>
      </c>
      <c r="M30" s="6">
        <v>1</v>
      </c>
      <c r="N30" s="6">
        <v>444</v>
      </c>
      <c r="O30" s="6">
        <v>3.6</v>
      </c>
      <c r="P30" s="6">
        <v>9.6999999999999993</v>
      </c>
      <c r="Q30" s="6">
        <v>100</v>
      </c>
      <c r="R30" s="6">
        <v>444</v>
      </c>
    </row>
    <row r="31" spans="1:18">
      <c r="A31" s="3" t="s">
        <v>44</v>
      </c>
      <c r="D31" s="6">
        <v>695</v>
      </c>
      <c r="E31" s="6">
        <v>3</v>
      </c>
      <c r="F31" s="6">
        <v>47</v>
      </c>
      <c r="G31" s="6">
        <v>-1</v>
      </c>
      <c r="H31" s="6">
        <v>652</v>
      </c>
      <c r="I31" s="6">
        <v>0</v>
      </c>
      <c r="J31" s="6">
        <v>0</v>
      </c>
      <c r="K31" s="6">
        <v>0</v>
      </c>
      <c r="L31" s="6">
        <v>1</v>
      </c>
      <c r="M31" s="6">
        <v>2</v>
      </c>
      <c r="N31" s="6">
        <v>649</v>
      </c>
      <c r="O31" s="6">
        <v>5.2</v>
      </c>
      <c r="P31" s="6">
        <v>14.2</v>
      </c>
      <c r="Q31" s="6">
        <v>100</v>
      </c>
      <c r="R31" s="6">
        <v>649</v>
      </c>
    </row>
    <row r="32" spans="1:18">
      <c r="A32" s="3" t="s">
        <v>45</v>
      </c>
      <c r="D32" s="6">
        <v>2343</v>
      </c>
      <c r="E32" s="6">
        <v>1654</v>
      </c>
      <c r="F32" s="6">
        <v>0</v>
      </c>
      <c r="G32" s="6">
        <v>7</v>
      </c>
      <c r="H32" s="6">
        <v>3990</v>
      </c>
      <c r="I32" s="6">
        <v>3067</v>
      </c>
      <c r="J32" s="6">
        <v>0</v>
      </c>
      <c r="K32" s="6">
        <v>257</v>
      </c>
      <c r="L32" s="6">
        <v>0</v>
      </c>
      <c r="M32" s="6">
        <v>26</v>
      </c>
      <c r="N32" s="6">
        <v>640</v>
      </c>
      <c r="O32" s="6">
        <v>5.0999999999999996</v>
      </c>
      <c r="P32" s="6">
        <v>14</v>
      </c>
      <c r="Q32" s="6">
        <v>89.2</v>
      </c>
      <c r="R32" s="6">
        <v>571</v>
      </c>
    </row>
    <row r="33" spans="1:18">
      <c r="A33" s="11" t="s">
        <v>46</v>
      </c>
      <c r="D33" s="6">
        <v>497</v>
      </c>
      <c r="E33" s="6">
        <v>804</v>
      </c>
      <c r="F33" s="6">
        <v>11</v>
      </c>
      <c r="G33" s="6">
        <v>31</v>
      </c>
      <c r="H33" s="6">
        <v>1259</v>
      </c>
      <c r="I33" s="6">
        <v>0</v>
      </c>
      <c r="J33" s="6">
        <v>0</v>
      </c>
      <c r="K33" s="6">
        <v>0</v>
      </c>
      <c r="L33" s="6">
        <v>2</v>
      </c>
      <c r="M33" s="6">
        <v>25</v>
      </c>
      <c r="N33" s="6">
        <v>1232</v>
      </c>
      <c r="Q33" s="6">
        <v>63</v>
      </c>
      <c r="R33" s="6">
        <v>776</v>
      </c>
    </row>
    <row r="34" spans="1:18">
      <c r="A34" s="11" t="s">
        <v>47</v>
      </c>
      <c r="D34" s="6">
        <v>1287</v>
      </c>
      <c r="E34" s="6">
        <v>1407</v>
      </c>
      <c r="F34" s="6">
        <v>2</v>
      </c>
      <c r="G34" s="6">
        <v>42</v>
      </c>
      <c r="H34" s="6">
        <v>2650</v>
      </c>
      <c r="I34" s="6">
        <v>0</v>
      </c>
      <c r="J34" s="6">
        <v>0</v>
      </c>
      <c r="K34" s="6">
        <v>0</v>
      </c>
      <c r="L34" s="6">
        <v>4</v>
      </c>
      <c r="M34" s="6">
        <v>53</v>
      </c>
      <c r="N34" s="6">
        <v>2593</v>
      </c>
      <c r="Q34" s="6">
        <v>63</v>
      </c>
      <c r="R34" s="6">
        <v>1634</v>
      </c>
    </row>
    <row r="35" spans="1:18">
      <c r="A35" s="11" t="s">
        <v>48</v>
      </c>
      <c r="D35" s="6">
        <v>1681</v>
      </c>
      <c r="E35" s="6">
        <v>937</v>
      </c>
      <c r="F35" s="6">
        <v>3</v>
      </c>
      <c r="G35" s="6">
        <v>-1</v>
      </c>
      <c r="H35" s="6">
        <v>2616</v>
      </c>
      <c r="I35" s="6">
        <v>0</v>
      </c>
      <c r="J35" s="6">
        <v>0</v>
      </c>
      <c r="K35" s="6">
        <v>0</v>
      </c>
      <c r="L35" s="6">
        <v>4</v>
      </c>
      <c r="M35" s="6">
        <v>52</v>
      </c>
      <c r="N35" s="6">
        <v>2560</v>
      </c>
      <c r="Q35" s="6">
        <v>71</v>
      </c>
      <c r="R35" s="6">
        <v>1818</v>
      </c>
    </row>
    <row r="36" spans="1:18">
      <c r="A36" s="11" t="s">
        <v>49</v>
      </c>
      <c r="D36" s="6">
        <v>2537</v>
      </c>
      <c r="E36" s="6">
        <v>117</v>
      </c>
      <c r="F36" s="6">
        <v>27</v>
      </c>
      <c r="G36" s="6">
        <v>0</v>
      </c>
      <c r="H36" s="6">
        <v>2627</v>
      </c>
      <c r="I36" s="6">
        <v>0</v>
      </c>
      <c r="J36" s="6">
        <v>84</v>
      </c>
      <c r="K36" s="6">
        <v>0</v>
      </c>
      <c r="L36" s="6">
        <v>4</v>
      </c>
      <c r="M36" s="6">
        <v>51</v>
      </c>
      <c r="N36" s="6">
        <v>2488</v>
      </c>
      <c r="Q36" s="6">
        <v>85</v>
      </c>
      <c r="R36" s="6">
        <v>2115</v>
      </c>
    </row>
    <row r="37" spans="1:18">
      <c r="A37" s="11" t="s">
        <v>50</v>
      </c>
      <c r="D37" s="6">
        <v>7532</v>
      </c>
      <c r="E37" s="6">
        <v>4450</v>
      </c>
      <c r="F37" s="6">
        <v>137</v>
      </c>
      <c r="G37" s="6">
        <v>-361</v>
      </c>
      <c r="H37" s="6">
        <v>12206</v>
      </c>
      <c r="I37" s="6">
        <v>170</v>
      </c>
      <c r="J37" s="6">
        <v>0</v>
      </c>
      <c r="K37" s="6">
        <v>0</v>
      </c>
      <c r="L37" s="6">
        <v>18</v>
      </c>
      <c r="M37" s="6">
        <v>282</v>
      </c>
      <c r="N37" s="6">
        <v>11736</v>
      </c>
      <c r="Q37" s="6">
        <v>100</v>
      </c>
      <c r="R37" s="6">
        <v>11736</v>
      </c>
    </row>
  </sheetData>
  <phoneticPr fontId="4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36B0-BD28-48AA-A014-0E1326F7B0BF}">
  <dimension ref="A1:I6"/>
  <sheetViews>
    <sheetView workbookViewId="0">
      <selection activeCell="F15" sqref="F15"/>
    </sheetView>
  </sheetViews>
  <sheetFormatPr defaultRowHeight="18"/>
  <cols>
    <col min="1" max="1" width="8.6640625" style="6"/>
    <col min="2" max="3" width="9.6640625" style="6" bestFit="1" customWidth="1"/>
    <col min="4" max="9" width="8.75" style="6" bestFit="1" customWidth="1"/>
    <col min="10" max="16384" width="8.6640625" style="6"/>
  </cols>
  <sheetData>
    <row r="1" spans="1:9"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</row>
    <row r="2" spans="1:9">
      <c r="A2" s="6" t="s">
        <v>57</v>
      </c>
      <c r="B2" s="12">
        <v>70.155834999999996</v>
      </c>
      <c r="C2" s="12">
        <v>151.344165</v>
      </c>
      <c r="D2" s="12">
        <v>190.90482</v>
      </c>
      <c r="E2" s="12">
        <v>227.09518</v>
      </c>
      <c r="F2" s="12">
        <v>3.05</v>
      </c>
      <c r="G2" s="12">
        <v>498.1</v>
      </c>
      <c r="H2" s="12"/>
      <c r="I2" s="12"/>
    </row>
    <row r="3" spans="1:9">
      <c r="A3" s="6" t="s">
        <v>58</v>
      </c>
      <c r="B3" s="12">
        <v>435.29598700000003</v>
      </c>
      <c r="C3" s="12">
        <v>424.304013</v>
      </c>
      <c r="D3" s="12">
        <v>120.47264</v>
      </c>
      <c r="E3" s="12">
        <v>31.627359999999999</v>
      </c>
      <c r="F3" s="12">
        <v>49.25</v>
      </c>
      <c r="G3" s="12">
        <v>57.49</v>
      </c>
      <c r="H3" s="12"/>
      <c r="I3" s="12"/>
    </row>
    <row r="4" spans="1:9">
      <c r="A4" s="6" t="s">
        <v>59</v>
      </c>
      <c r="B4" s="12">
        <v>713.54900899999984</v>
      </c>
      <c r="C4" s="12">
        <v>539.55099100000018</v>
      </c>
      <c r="D4" s="12">
        <v>313.07092000000006</v>
      </c>
      <c r="E4" s="12">
        <v>209.02907999999999</v>
      </c>
      <c r="F4" s="12">
        <v>199.4</v>
      </c>
      <c r="G4" s="12">
        <v>27.452000000000002</v>
      </c>
      <c r="H4" s="12"/>
      <c r="I4" s="12"/>
    </row>
    <row r="5" spans="1:9">
      <c r="A5" s="6" t="s">
        <v>60</v>
      </c>
      <c r="B5" s="12">
        <v>0.34030300000000002</v>
      </c>
      <c r="C5" s="12">
        <v>0.36169699999999999</v>
      </c>
      <c r="D5" s="12">
        <v>5.0959500000000011</v>
      </c>
      <c r="E5" s="12">
        <v>22.404049999999998</v>
      </c>
      <c r="F5" s="12">
        <v>1.88</v>
      </c>
      <c r="G5" s="12">
        <v>6</v>
      </c>
      <c r="H5" s="12"/>
      <c r="I5" s="12"/>
    </row>
    <row r="6" spans="1:9">
      <c r="B6" s="12"/>
      <c r="C6" s="12"/>
      <c r="D6" s="12"/>
      <c r="E6" s="12"/>
      <c r="F6" s="12"/>
      <c r="G6" s="12"/>
      <c r="H6" s="12"/>
      <c r="I6" s="12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F7DB-E464-4F63-88F0-01FBA053E86D}">
  <dimension ref="A1:C5"/>
  <sheetViews>
    <sheetView workbookViewId="0">
      <selection activeCell="H14" sqref="H14"/>
    </sheetView>
  </sheetViews>
  <sheetFormatPr defaultRowHeight="18"/>
  <cols>
    <col min="1" max="16384" width="8.6640625" style="6"/>
  </cols>
  <sheetData>
    <row r="1" spans="1:3">
      <c r="B1" s="6" t="s">
        <v>61</v>
      </c>
      <c r="C1" s="6" t="s">
        <v>62</v>
      </c>
    </row>
    <row r="2" spans="1:3">
      <c r="A2" s="6" t="s">
        <v>57</v>
      </c>
      <c r="B2" s="6">
        <v>9.6000000000000002E-2</v>
      </c>
      <c r="C2" s="6">
        <v>0.7</v>
      </c>
    </row>
    <row r="3" spans="1:3">
      <c r="A3" s="6" t="s">
        <v>58</v>
      </c>
      <c r="B3" s="6">
        <v>1.4370000000000001</v>
      </c>
      <c r="C3" s="6">
        <v>1.1100000000000001</v>
      </c>
    </row>
    <row r="4" spans="1:3">
      <c r="A4" s="6" t="s">
        <v>59</v>
      </c>
      <c r="B4" s="6">
        <v>5.3840000000000003</v>
      </c>
      <c r="C4" s="6">
        <v>5.5149999999999997</v>
      </c>
    </row>
    <row r="5" spans="1:3">
      <c r="A5" s="6" t="s">
        <v>60</v>
      </c>
      <c r="B5" s="6">
        <v>4.9000000000000002E-2</v>
      </c>
      <c r="C5" s="6">
        <v>0.13400000000000001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C626-3035-458B-9BAB-912D4E220E67}">
  <dimension ref="A1:B8"/>
  <sheetViews>
    <sheetView workbookViewId="0">
      <selection activeCell="J29" sqref="J29"/>
    </sheetView>
  </sheetViews>
  <sheetFormatPr defaultRowHeight="18"/>
  <cols>
    <col min="1" max="1" width="14.75" customWidth="1"/>
    <col min="2" max="2" width="15.5" customWidth="1"/>
  </cols>
  <sheetData>
    <row r="1" spans="1:2">
      <c r="A1" s="41" t="s">
        <v>106</v>
      </c>
      <c r="B1" s="41">
        <v>861700</v>
      </c>
    </row>
    <row r="2" spans="1:2">
      <c r="A2" s="41" t="s">
        <v>100</v>
      </c>
      <c r="B2" s="41">
        <v>237760</v>
      </c>
    </row>
    <row r="3" spans="1:2">
      <c r="A3" s="41" t="s">
        <v>101</v>
      </c>
      <c r="B3" s="41">
        <v>62300</v>
      </c>
    </row>
    <row r="4" spans="1:2">
      <c r="A4" s="41" t="s">
        <v>102</v>
      </c>
      <c r="B4" s="41">
        <v>447200</v>
      </c>
    </row>
    <row r="5" spans="1:2">
      <c r="A5" s="41" t="s">
        <v>103</v>
      </c>
      <c r="B5" s="41">
        <v>8949000</v>
      </c>
    </row>
    <row r="6" spans="1:2">
      <c r="A6" s="41" t="s">
        <v>104</v>
      </c>
      <c r="B6" s="41">
        <v>139230000</v>
      </c>
    </row>
    <row r="7" spans="1:2" ht="18" customHeight="1">
      <c r="A7" s="41" t="s">
        <v>105</v>
      </c>
      <c r="B7" s="41">
        <v>182661000</v>
      </c>
    </row>
    <row r="8" spans="1:2" ht="18" customHeight="1"/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28C-4EFE-4AC9-8D46-0A18EBF09292}">
  <dimension ref="A1:E9"/>
  <sheetViews>
    <sheetView workbookViewId="0">
      <selection activeCell="B12" sqref="B12"/>
    </sheetView>
  </sheetViews>
  <sheetFormatPr defaultRowHeight="18"/>
  <cols>
    <col min="1" max="3" width="12.58203125" style="6" customWidth="1"/>
    <col min="4" max="5" width="12.6640625" style="6" customWidth="1"/>
    <col min="6" max="16384" width="8.6640625" style="6"/>
  </cols>
  <sheetData>
    <row r="1" spans="1:5">
      <c r="B1" s="6" t="s">
        <v>107</v>
      </c>
      <c r="C1" s="6" t="s">
        <v>108</v>
      </c>
      <c r="D1" s="6" t="s">
        <v>109</v>
      </c>
      <c r="E1" s="6" t="s">
        <v>110</v>
      </c>
    </row>
    <row r="2" spans="1:5">
      <c r="A2" s="6" t="s">
        <v>111</v>
      </c>
      <c r="B2" s="6">
        <v>4054.4</v>
      </c>
      <c r="C2" s="9">
        <v>17.559656652360513</v>
      </c>
      <c r="D2" s="9">
        <v>19.510729613733904</v>
      </c>
      <c r="E2" s="9">
        <v>21.461802575107296</v>
      </c>
    </row>
    <row r="3" spans="1:5">
      <c r="A3" s="6" t="s">
        <v>100</v>
      </c>
      <c r="B3" s="6">
        <v>3243.5</v>
      </c>
      <c r="C3" s="9">
        <v>15.023734177215191</v>
      </c>
      <c r="D3" s="9">
        <v>16.693037974683545</v>
      </c>
      <c r="E3" s="9">
        <v>18.3623417721519</v>
      </c>
    </row>
    <row r="4" spans="1:5">
      <c r="A4" s="6" t="s">
        <v>101</v>
      </c>
      <c r="B4" s="6">
        <v>2635.4</v>
      </c>
      <c r="C4" s="9">
        <v>14.977099236641219</v>
      </c>
      <c r="D4" s="9">
        <v>16.641221374045799</v>
      </c>
      <c r="E4" s="9">
        <v>18.305343511450381</v>
      </c>
    </row>
    <row r="5" spans="1:5">
      <c r="A5" s="6" t="s">
        <v>112</v>
      </c>
      <c r="B5" s="6">
        <v>1216.3</v>
      </c>
      <c r="C5" s="9">
        <v>15.813299232736574</v>
      </c>
      <c r="D5" s="9">
        <v>17.570332480818415</v>
      </c>
      <c r="E5" s="9">
        <v>19.327365728900258</v>
      </c>
    </row>
    <row r="6" spans="1:5">
      <c r="A6" s="6" t="s">
        <v>103</v>
      </c>
      <c r="B6" s="6">
        <v>541.5</v>
      </c>
      <c r="C6" s="9">
        <v>17.45</v>
      </c>
      <c r="D6" s="9">
        <v>19.388888888888889</v>
      </c>
      <c r="E6" s="9">
        <v>21.327777777777779</v>
      </c>
    </row>
    <row r="7" spans="1:5">
      <c r="A7" s="6" t="s">
        <v>104</v>
      </c>
      <c r="B7" s="6">
        <v>25.3</v>
      </c>
      <c r="C7" s="9">
        <v>14.4</v>
      </c>
      <c r="D7" s="9">
        <v>16</v>
      </c>
      <c r="E7" s="9">
        <v>17.600000000000001</v>
      </c>
    </row>
    <row r="8" spans="1:5">
      <c r="A8" s="6" t="s">
        <v>105</v>
      </c>
      <c r="B8" s="6">
        <v>25.2</v>
      </c>
      <c r="C8" s="9">
        <v>12.870000000000001</v>
      </c>
      <c r="D8" s="9">
        <v>14.3</v>
      </c>
      <c r="E8" s="9">
        <v>15.730000000000002</v>
      </c>
    </row>
    <row r="9" spans="1:5">
      <c r="C9" s="15"/>
      <c r="E9" s="15"/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0889-661D-49D8-BEAC-9EDE23BD4954}">
  <dimension ref="A1:T21"/>
  <sheetViews>
    <sheetView workbookViewId="0">
      <pane xSplit="2" ySplit="1" topLeftCell="C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defaultRowHeight="18"/>
  <cols>
    <col min="1" max="1" width="12.6640625" style="6" customWidth="1"/>
    <col min="2" max="20" width="12.58203125" style="6" customWidth="1"/>
    <col min="21" max="16384" width="8.6640625" style="6"/>
  </cols>
  <sheetData>
    <row r="1" spans="1:20">
      <c r="B1" s="16"/>
      <c r="C1" s="6" t="s">
        <v>113</v>
      </c>
      <c r="D1" s="6" t="s">
        <v>114</v>
      </c>
      <c r="E1" s="6" t="s">
        <v>115</v>
      </c>
      <c r="F1" s="6" t="s">
        <v>116</v>
      </c>
      <c r="G1" s="6" t="s">
        <v>117</v>
      </c>
      <c r="H1" s="6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  <c r="N1" s="6" t="s">
        <v>124</v>
      </c>
      <c r="O1" s="6" t="s">
        <v>125</v>
      </c>
      <c r="P1" s="17" t="s">
        <v>126</v>
      </c>
      <c r="Q1" s="17" t="s">
        <v>99</v>
      </c>
      <c r="R1" s="17" t="s">
        <v>127</v>
      </c>
      <c r="S1" s="17" t="s">
        <v>128</v>
      </c>
      <c r="T1" s="17" t="s">
        <v>129</v>
      </c>
    </row>
    <row r="2" spans="1:20">
      <c r="A2" s="18" t="s">
        <v>111</v>
      </c>
      <c r="B2" s="19" t="s">
        <v>107</v>
      </c>
      <c r="C2" s="18">
        <v>59.2</v>
      </c>
      <c r="D2" s="18">
        <v>37.700000000000003</v>
      </c>
      <c r="E2" s="18">
        <v>38</v>
      </c>
      <c r="F2" s="18">
        <v>7.4</v>
      </c>
      <c r="G2" s="18">
        <v>55.8</v>
      </c>
      <c r="H2" s="18">
        <v>62.7</v>
      </c>
      <c r="I2" s="18">
        <v>76.599999999999994</v>
      </c>
      <c r="J2" s="18">
        <v>64.5</v>
      </c>
      <c r="K2" s="18">
        <v>67.3</v>
      </c>
      <c r="L2" s="18">
        <v>51.7</v>
      </c>
      <c r="M2" s="18">
        <v>28.5</v>
      </c>
      <c r="N2" s="18"/>
      <c r="O2" s="18"/>
      <c r="P2" s="18">
        <v>79.900000000000006</v>
      </c>
      <c r="Q2" s="18">
        <v>78.400000000000006</v>
      </c>
      <c r="R2" s="18">
        <v>81.3</v>
      </c>
      <c r="S2" s="18">
        <v>74.099999999999994</v>
      </c>
      <c r="T2" s="18">
        <v>81.3</v>
      </c>
    </row>
    <row r="3" spans="1:20">
      <c r="A3" s="17" t="s">
        <v>111</v>
      </c>
      <c r="B3" s="20" t="s">
        <v>130</v>
      </c>
      <c r="C3" s="17">
        <v>9.1</v>
      </c>
      <c r="D3" s="17">
        <v>4.2</v>
      </c>
      <c r="E3" s="17">
        <v>4.2</v>
      </c>
      <c r="F3" s="17">
        <v>5.5</v>
      </c>
      <c r="G3" s="17">
        <v>14.8</v>
      </c>
      <c r="H3" s="17">
        <v>15.7</v>
      </c>
      <c r="I3" s="17">
        <v>45</v>
      </c>
      <c r="J3" s="17">
        <v>37.299999999999997</v>
      </c>
      <c r="K3" s="17">
        <v>8.5</v>
      </c>
      <c r="L3" s="17">
        <v>14.2</v>
      </c>
      <c r="M3" s="17">
        <v>1.8</v>
      </c>
      <c r="N3" s="17"/>
      <c r="O3" s="17"/>
      <c r="P3" s="17">
        <v>7.6</v>
      </c>
      <c r="Q3" s="17">
        <v>8.8000000000000007</v>
      </c>
      <c r="R3" s="17">
        <v>12.1</v>
      </c>
      <c r="S3" s="17">
        <v>10.6</v>
      </c>
      <c r="T3" s="17">
        <v>7.5</v>
      </c>
    </row>
    <row r="4" spans="1:20">
      <c r="A4" s="6" t="s">
        <v>131</v>
      </c>
      <c r="B4" s="16" t="s">
        <v>107</v>
      </c>
      <c r="C4" s="6">
        <v>59.2</v>
      </c>
      <c r="D4" s="6">
        <v>37.700000000000003</v>
      </c>
      <c r="E4" s="6">
        <v>38</v>
      </c>
      <c r="F4" s="6">
        <v>7.4</v>
      </c>
      <c r="G4" s="6">
        <v>55.8</v>
      </c>
      <c r="H4" s="6">
        <v>62.7</v>
      </c>
      <c r="I4" s="6">
        <v>76.599999999999994</v>
      </c>
      <c r="J4" s="6">
        <v>64.5</v>
      </c>
      <c r="K4" s="6">
        <v>67.3</v>
      </c>
      <c r="L4" s="6">
        <v>51.7</v>
      </c>
      <c r="M4" s="6">
        <v>28.5</v>
      </c>
      <c r="O4" s="18"/>
      <c r="P4" s="6">
        <v>79.900000000000006</v>
      </c>
      <c r="Q4" s="6">
        <v>78.400000000000006</v>
      </c>
      <c r="R4" s="6">
        <v>81.3</v>
      </c>
      <c r="S4" s="6">
        <v>74.099999999999994</v>
      </c>
      <c r="T4" s="6">
        <v>81.3</v>
      </c>
    </row>
    <row r="5" spans="1:20">
      <c r="A5" s="17" t="s">
        <v>131</v>
      </c>
      <c r="B5" s="20" t="s">
        <v>130</v>
      </c>
      <c r="C5" s="17">
        <v>9.1</v>
      </c>
      <c r="D5" s="17">
        <v>4.2</v>
      </c>
      <c r="E5" s="17">
        <v>4.2</v>
      </c>
      <c r="F5" s="17">
        <v>5.5</v>
      </c>
      <c r="G5" s="17">
        <v>14.8</v>
      </c>
      <c r="H5" s="17">
        <v>15.7</v>
      </c>
      <c r="I5" s="17">
        <v>45</v>
      </c>
      <c r="J5" s="17">
        <v>37.299999999999997</v>
      </c>
      <c r="K5" s="17">
        <v>8.5</v>
      </c>
      <c r="L5" s="17">
        <v>14.2</v>
      </c>
      <c r="M5" s="17">
        <v>1.8</v>
      </c>
      <c r="N5" s="17"/>
      <c r="O5" s="17"/>
      <c r="P5" s="6">
        <v>7.6</v>
      </c>
      <c r="Q5" s="6">
        <v>8.8000000000000007</v>
      </c>
      <c r="R5" s="6">
        <v>12.1</v>
      </c>
      <c r="S5" s="6">
        <v>10.6</v>
      </c>
      <c r="T5" s="6">
        <v>7.5</v>
      </c>
    </row>
    <row r="6" spans="1:20">
      <c r="A6" s="6" t="s">
        <v>132</v>
      </c>
      <c r="B6" s="16" t="s">
        <v>107</v>
      </c>
      <c r="C6" s="18">
        <v>59.2</v>
      </c>
      <c r="D6" s="6">
        <v>37.700000000000003</v>
      </c>
      <c r="E6" s="6">
        <v>38</v>
      </c>
      <c r="F6" s="6">
        <v>7.4</v>
      </c>
      <c r="G6" s="6">
        <v>55.8</v>
      </c>
      <c r="H6" s="6">
        <v>62.7</v>
      </c>
      <c r="I6" s="6">
        <v>76.599999999999994</v>
      </c>
      <c r="J6" s="6">
        <v>64.5</v>
      </c>
      <c r="K6" s="6">
        <v>67.3</v>
      </c>
      <c r="L6" s="6">
        <v>51.7</v>
      </c>
      <c r="M6" s="6">
        <v>28.5</v>
      </c>
      <c r="O6" s="18"/>
      <c r="P6" s="18">
        <v>79.900000000000006</v>
      </c>
      <c r="Q6" s="18">
        <v>78.400000000000006</v>
      </c>
      <c r="R6" s="18">
        <v>81.3</v>
      </c>
      <c r="S6" s="18">
        <v>74.099999999999994</v>
      </c>
      <c r="T6" s="18">
        <v>81.3</v>
      </c>
    </row>
    <row r="7" spans="1:20">
      <c r="A7" s="17" t="s">
        <v>132</v>
      </c>
      <c r="B7" s="20" t="s">
        <v>130</v>
      </c>
      <c r="C7" s="17">
        <v>9.1</v>
      </c>
      <c r="D7" s="17">
        <v>4.2</v>
      </c>
      <c r="E7" s="17">
        <v>4.2</v>
      </c>
      <c r="F7" s="17">
        <v>5.5</v>
      </c>
      <c r="G7" s="17">
        <v>14.8</v>
      </c>
      <c r="H7" s="17">
        <v>15.7</v>
      </c>
      <c r="I7" s="17">
        <v>45</v>
      </c>
      <c r="J7" s="17">
        <v>37.299999999999997</v>
      </c>
      <c r="K7" s="17">
        <v>8.5</v>
      </c>
      <c r="L7" s="17">
        <v>14.2</v>
      </c>
      <c r="M7" s="17">
        <v>1.8</v>
      </c>
      <c r="N7" s="17"/>
      <c r="O7" s="17"/>
      <c r="P7" s="17">
        <v>7.6</v>
      </c>
      <c r="Q7" s="17">
        <v>8.8000000000000007</v>
      </c>
      <c r="R7" s="17">
        <v>12.1</v>
      </c>
      <c r="S7" s="17">
        <v>10.6</v>
      </c>
      <c r="T7" s="17">
        <v>7.5</v>
      </c>
    </row>
    <row r="8" spans="1:20">
      <c r="A8" s="6" t="s">
        <v>112</v>
      </c>
      <c r="B8" s="16" t="s">
        <v>107</v>
      </c>
      <c r="C8" s="18">
        <v>59.2</v>
      </c>
      <c r="D8" s="6">
        <v>37.700000000000003</v>
      </c>
      <c r="E8" s="6">
        <v>38</v>
      </c>
      <c r="F8" s="6">
        <v>7.4</v>
      </c>
      <c r="G8" s="6">
        <v>55.8</v>
      </c>
      <c r="H8" s="6">
        <v>62.7</v>
      </c>
      <c r="I8" s="6">
        <v>76.599999999999994</v>
      </c>
      <c r="J8" s="6">
        <v>64.5</v>
      </c>
      <c r="K8" s="6">
        <v>67.3</v>
      </c>
      <c r="L8" s="6">
        <v>51.7</v>
      </c>
      <c r="M8" s="6">
        <v>28.5</v>
      </c>
      <c r="O8" s="18"/>
      <c r="P8" s="6">
        <v>79.900000000000006</v>
      </c>
      <c r="Q8" s="6">
        <v>78.400000000000006</v>
      </c>
      <c r="R8" s="6">
        <v>81.3</v>
      </c>
      <c r="S8" s="6">
        <v>74.099999999999994</v>
      </c>
      <c r="T8" s="6">
        <v>81.3</v>
      </c>
    </row>
    <row r="9" spans="1:20">
      <c r="A9" s="6" t="s">
        <v>112</v>
      </c>
      <c r="B9" s="16" t="s">
        <v>130</v>
      </c>
      <c r="C9" s="6">
        <v>9.1</v>
      </c>
      <c r="D9" s="6">
        <v>4.2</v>
      </c>
      <c r="E9" s="6">
        <v>4.2</v>
      </c>
      <c r="F9" s="6">
        <v>5.5</v>
      </c>
      <c r="G9" s="6">
        <v>14.8</v>
      </c>
      <c r="H9" s="6">
        <v>15.7</v>
      </c>
      <c r="I9" s="6">
        <v>45</v>
      </c>
      <c r="J9" s="6">
        <v>37.299999999999997</v>
      </c>
      <c r="K9" s="6">
        <v>8.5</v>
      </c>
      <c r="L9" s="6">
        <v>14.2</v>
      </c>
      <c r="M9" s="6">
        <v>1.8</v>
      </c>
      <c r="O9" s="17"/>
      <c r="P9" s="6">
        <v>7.6</v>
      </c>
      <c r="Q9" s="6">
        <v>8.8000000000000007</v>
      </c>
      <c r="R9" s="6">
        <v>12.1</v>
      </c>
      <c r="S9" s="6">
        <v>10.6</v>
      </c>
      <c r="T9" s="6">
        <v>7.5</v>
      </c>
    </row>
    <row r="10" spans="1:20">
      <c r="A10" s="18" t="s">
        <v>133</v>
      </c>
      <c r="B10" s="19" t="s">
        <v>107</v>
      </c>
      <c r="C10" s="18"/>
      <c r="D10" s="18"/>
      <c r="E10" s="18"/>
      <c r="F10" s="18"/>
      <c r="G10" s="18">
        <v>51.6</v>
      </c>
      <c r="H10" s="18">
        <v>58.6</v>
      </c>
      <c r="I10" s="18">
        <v>70.900000000000006</v>
      </c>
      <c r="J10" s="18">
        <v>59.8</v>
      </c>
      <c r="K10" s="18">
        <v>63.7</v>
      </c>
      <c r="L10" s="18">
        <v>51.2</v>
      </c>
      <c r="M10" s="18"/>
      <c r="N10" s="18">
        <v>63.1</v>
      </c>
      <c r="O10" s="18">
        <v>62.2</v>
      </c>
      <c r="P10" s="18">
        <v>81</v>
      </c>
      <c r="Q10" s="18">
        <v>80.900000000000006</v>
      </c>
      <c r="R10" s="18">
        <v>82.5</v>
      </c>
      <c r="S10" s="18">
        <v>70.400000000000006</v>
      </c>
      <c r="T10" s="18">
        <v>82.5</v>
      </c>
    </row>
    <row r="11" spans="1:20">
      <c r="A11" s="17" t="s">
        <v>133</v>
      </c>
      <c r="B11" s="20" t="s">
        <v>130</v>
      </c>
      <c r="C11" s="17"/>
      <c r="D11" s="17"/>
      <c r="E11" s="17"/>
      <c r="F11" s="17"/>
      <c r="G11" s="17">
        <v>14.8</v>
      </c>
      <c r="H11" s="17">
        <v>14.8</v>
      </c>
      <c r="I11" s="17">
        <v>45</v>
      </c>
      <c r="J11" s="17">
        <v>37.299999999999997</v>
      </c>
      <c r="K11" s="17">
        <v>8.5</v>
      </c>
      <c r="L11" s="17">
        <v>14.2</v>
      </c>
      <c r="M11" s="17"/>
      <c r="N11" s="17">
        <v>58.9</v>
      </c>
      <c r="O11" s="17">
        <v>67</v>
      </c>
      <c r="P11" s="17">
        <v>7.6</v>
      </c>
      <c r="Q11" s="17">
        <v>8.8000000000000007</v>
      </c>
      <c r="R11" s="17">
        <v>12.1</v>
      </c>
      <c r="S11" s="17">
        <v>10.6</v>
      </c>
      <c r="T11" s="17">
        <v>7.5</v>
      </c>
    </row>
    <row r="12" spans="1:20">
      <c r="A12" s="6" t="s">
        <v>104</v>
      </c>
      <c r="B12" s="16" t="s">
        <v>107</v>
      </c>
      <c r="G12" s="6">
        <v>40.299999999999997</v>
      </c>
      <c r="H12" s="6">
        <v>47.1</v>
      </c>
      <c r="I12" s="6">
        <v>70.900000000000006</v>
      </c>
      <c r="J12" s="6">
        <v>59.8</v>
      </c>
      <c r="L12" s="6">
        <v>47.1</v>
      </c>
      <c r="N12" s="6">
        <v>63.1</v>
      </c>
      <c r="O12" s="18">
        <v>62.2</v>
      </c>
      <c r="P12" s="6">
        <v>81</v>
      </c>
      <c r="Q12" s="6">
        <v>80.900000000000006</v>
      </c>
      <c r="R12" s="6">
        <v>82.5</v>
      </c>
      <c r="S12" s="6">
        <v>70.400000000000006</v>
      </c>
      <c r="T12" s="6">
        <v>82.5</v>
      </c>
    </row>
    <row r="13" spans="1:20">
      <c r="A13" s="6" t="s">
        <v>104</v>
      </c>
      <c r="B13" s="16" t="s">
        <v>130</v>
      </c>
      <c r="G13" s="6">
        <v>14.8</v>
      </c>
      <c r="H13" s="6">
        <v>14.8</v>
      </c>
      <c r="I13" s="6">
        <v>45</v>
      </c>
      <c r="J13" s="6">
        <v>37.299999999999997</v>
      </c>
      <c r="L13" s="6">
        <v>14.2</v>
      </c>
      <c r="N13" s="6">
        <v>58.9</v>
      </c>
      <c r="O13" s="6">
        <v>67</v>
      </c>
      <c r="P13" s="6">
        <v>7.6</v>
      </c>
      <c r="Q13" s="6">
        <v>8.8000000000000007</v>
      </c>
      <c r="R13" s="6">
        <v>12.1</v>
      </c>
      <c r="S13" s="6">
        <v>10.6</v>
      </c>
      <c r="T13" s="6">
        <v>7.5</v>
      </c>
    </row>
    <row r="14" spans="1:20">
      <c r="A14" s="18" t="s">
        <v>105</v>
      </c>
      <c r="B14" s="19" t="s">
        <v>107</v>
      </c>
      <c r="C14" s="18"/>
      <c r="D14" s="18"/>
      <c r="E14" s="18"/>
      <c r="F14" s="18"/>
      <c r="G14" s="18">
        <v>40.299999999999997</v>
      </c>
      <c r="H14" s="18">
        <v>47.1</v>
      </c>
      <c r="I14" s="18">
        <v>70.900000000000006</v>
      </c>
      <c r="J14" s="18">
        <v>59.8</v>
      </c>
      <c r="K14" s="18"/>
      <c r="L14" s="18">
        <v>47.1</v>
      </c>
      <c r="M14" s="18"/>
      <c r="N14" s="18">
        <v>63.9</v>
      </c>
      <c r="O14" s="18">
        <v>62.2</v>
      </c>
      <c r="P14" s="18">
        <v>81</v>
      </c>
      <c r="Q14" s="18">
        <v>80.900000000000006</v>
      </c>
      <c r="R14" s="18">
        <v>82.5</v>
      </c>
      <c r="S14" s="18">
        <v>70.400000000000006</v>
      </c>
      <c r="T14" s="18">
        <v>82.5</v>
      </c>
    </row>
    <row r="15" spans="1:20">
      <c r="A15" s="17" t="s">
        <v>105</v>
      </c>
      <c r="B15" s="20" t="s">
        <v>130</v>
      </c>
      <c r="C15" s="17"/>
      <c r="D15" s="17"/>
      <c r="E15" s="17"/>
      <c r="F15" s="17"/>
      <c r="G15" s="17">
        <v>14.8</v>
      </c>
      <c r="H15" s="17">
        <v>14.8</v>
      </c>
      <c r="I15" s="17">
        <v>45</v>
      </c>
      <c r="J15" s="17">
        <v>37.299999999999997</v>
      </c>
      <c r="K15" s="17"/>
      <c r="L15" s="17">
        <v>14.2</v>
      </c>
      <c r="M15" s="17"/>
      <c r="N15" s="17">
        <v>58.9</v>
      </c>
      <c r="O15" s="17">
        <v>67</v>
      </c>
      <c r="P15" s="17">
        <v>7.6</v>
      </c>
      <c r="Q15" s="17">
        <v>8.8000000000000007</v>
      </c>
      <c r="R15" s="17">
        <v>12.1</v>
      </c>
      <c r="S15" s="17">
        <v>10.6</v>
      </c>
      <c r="T15" s="17">
        <v>7.5</v>
      </c>
    </row>
    <row r="21" spans="1:1">
      <c r="A21" s="21"/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DE31-23F0-4E56-98C9-85F252C08EB6}">
  <dimension ref="A1:O21"/>
  <sheetViews>
    <sheetView workbookViewId="0">
      <selection activeCell="B12" sqref="B12"/>
    </sheetView>
  </sheetViews>
  <sheetFormatPr defaultRowHeight="18"/>
  <cols>
    <col min="1" max="1" width="15.83203125" style="6" customWidth="1"/>
    <col min="2" max="4" width="12.6640625" style="6" customWidth="1"/>
    <col min="5" max="5" width="13.08203125" style="24" customWidth="1"/>
    <col min="6" max="16384" width="8.6640625" style="6"/>
  </cols>
  <sheetData>
    <row r="1" spans="1:15">
      <c r="A1" s="17"/>
      <c r="B1" s="17" t="s">
        <v>134</v>
      </c>
      <c r="C1" s="17" t="s">
        <v>135</v>
      </c>
      <c r="D1" s="17" t="s">
        <v>136</v>
      </c>
      <c r="E1" s="22" t="s">
        <v>137</v>
      </c>
    </row>
    <row r="2" spans="1:15">
      <c r="A2" s="6" t="s">
        <v>138</v>
      </c>
      <c r="C2" s="23">
        <v>2036889</v>
      </c>
      <c r="D2" s="23">
        <v>5012600</v>
      </c>
      <c r="E2" s="24">
        <v>4030620</v>
      </c>
      <c r="N2" s="21"/>
    </row>
    <row r="3" spans="1:15">
      <c r="A3" s="6" t="s">
        <v>139</v>
      </c>
      <c r="C3" s="23"/>
      <c r="D3" s="23">
        <v>677000</v>
      </c>
      <c r="N3" s="21"/>
      <c r="O3" s="21"/>
    </row>
    <row r="4" spans="1:15">
      <c r="A4" s="6" t="s">
        <v>140</v>
      </c>
      <c r="C4" s="23"/>
      <c r="D4" s="23">
        <v>677000</v>
      </c>
      <c r="N4" s="21"/>
    </row>
    <row r="5" spans="1:15">
      <c r="A5" s="17" t="s">
        <v>141</v>
      </c>
      <c r="B5" s="17"/>
      <c r="C5" s="23"/>
      <c r="D5" s="22">
        <v>27179</v>
      </c>
      <c r="E5" s="22"/>
      <c r="N5" s="21"/>
      <c r="O5" s="21"/>
    </row>
    <row r="6" spans="1:15">
      <c r="A6" s="18" t="s">
        <v>142</v>
      </c>
      <c r="B6" s="25">
        <v>6732</v>
      </c>
      <c r="C6" s="26"/>
      <c r="D6" s="27">
        <v>243539</v>
      </c>
      <c r="N6" s="21"/>
    </row>
    <row r="7" spans="1:15">
      <c r="A7" s="6" t="s">
        <v>143</v>
      </c>
      <c r="B7" s="25">
        <v>15665</v>
      </c>
      <c r="C7" s="25"/>
      <c r="D7" s="27">
        <v>1017531</v>
      </c>
      <c r="N7" s="21"/>
    </row>
    <row r="8" spans="1:15">
      <c r="A8" s="6" t="s">
        <v>119</v>
      </c>
      <c r="B8" s="25">
        <v>62759</v>
      </c>
      <c r="C8" s="25">
        <v>1505191</v>
      </c>
      <c r="D8" s="27">
        <v>3066589</v>
      </c>
      <c r="N8" s="21"/>
    </row>
    <row r="9" spans="1:15">
      <c r="A9" s="6" t="s">
        <v>144</v>
      </c>
      <c r="B9" s="25">
        <v>18581</v>
      </c>
      <c r="C9" s="25"/>
      <c r="D9" s="27">
        <v>1019985</v>
      </c>
      <c r="N9" s="21"/>
    </row>
    <row r="10" spans="1:15">
      <c r="A10" s="6" t="s">
        <v>145</v>
      </c>
      <c r="B10" s="25">
        <v>4071</v>
      </c>
      <c r="C10" s="25"/>
      <c r="D10" s="27">
        <v>115423</v>
      </c>
      <c r="I10" s="28"/>
      <c r="N10" s="21"/>
    </row>
    <row r="11" spans="1:15">
      <c r="A11" s="6" t="s">
        <v>146</v>
      </c>
      <c r="B11" s="25">
        <v>5805</v>
      </c>
      <c r="C11" s="25"/>
      <c r="D11" s="27">
        <v>131039</v>
      </c>
      <c r="I11" s="28"/>
      <c r="N11" s="21"/>
    </row>
    <row r="12" spans="1:15">
      <c r="A12" s="6" t="s">
        <v>147</v>
      </c>
      <c r="B12" s="25">
        <v>5001</v>
      </c>
      <c r="C12" s="25"/>
      <c r="D12" s="27">
        <v>151804</v>
      </c>
      <c r="I12" s="28"/>
      <c r="N12" s="21"/>
    </row>
    <row r="13" spans="1:15">
      <c r="A13" s="6" t="s">
        <v>148</v>
      </c>
      <c r="B13" s="25">
        <v>9740</v>
      </c>
      <c r="C13" s="25"/>
      <c r="D13" s="25">
        <v>164387</v>
      </c>
      <c r="E13" s="24">
        <v>164387</v>
      </c>
    </row>
    <row r="14" spans="1:15">
      <c r="A14" s="6" t="s">
        <v>125</v>
      </c>
      <c r="B14" s="25">
        <v>25673</v>
      </c>
      <c r="C14" s="25">
        <v>175356</v>
      </c>
      <c r="D14" s="25">
        <v>55615</v>
      </c>
      <c r="E14" s="24">
        <v>55615</v>
      </c>
    </row>
    <row r="15" spans="1:15">
      <c r="A15" s="6" t="s">
        <v>21</v>
      </c>
      <c r="B15" s="25">
        <v>525016</v>
      </c>
      <c r="C15" s="25">
        <v>10979053</v>
      </c>
      <c r="D15" s="25">
        <v>11256341</v>
      </c>
    </row>
    <row r="16" spans="1:15">
      <c r="A16" s="6" t="s">
        <v>22</v>
      </c>
      <c r="B16" s="25">
        <v>28864</v>
      </c>
      <c r="C16" s="25">
        <v>148522</v>
      </c>
      <c r="D16" s="25">
        <v>231397</v>
      </c>
    </row>
    <row r="17" spans="1:5">
      <c r="A17" s="6" t="s">
        <v>16</v>
      </c>
      <c r="B17" s="25">
        <v>55881</v>
      </c>
      <c r="C17" s="25">
        <v>408748</v>
      </c>
      <c r="D17" s="25">
        <v>659907</v>
      </c>
    </row>
    <row r="18" spans="1:5">
      <c r="A18" s="6" t="s">
        <v>18</v>
      </c>
      <c r="B18" s="25">
        <v>62277</v>
      </c>
      <c r="C18" s="25">
        <v>1083522</v>
      </c>
      <c r="D18" s="25">
        <v>959662</v>
      </c>
    </row>
    <row r="19" spans="1:5">
      <c r="A19" s="17" t="s">
        <v>15</v>
      </c>
      <c r="B19" s="29">
        <v>75186</v>
      </c>
      <c r="C19" s="29"/>
      <c r="D19" s="29">
        <v>1358334</v>
      </c>
      <c r="E19" s="22"/>
    </row>
    <row r="20" spans="1:5" ht="17.399999999999999" customHeight="1"/>
    <row r="21" spans="1:5">
      <c r="B21" s="25"/>
      <c r="C21" s="25"/>
      <c r="D21" s="25"/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047D-BDAC-431F-9162-9EA9A9BA72DC}">
  <dimension ref="A1:D24"/>
  <sheetViews>
    <sheetView workbookViewId="0">
      <selection activeCell="A17" sqref="A17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66</v>
      </c>
      <c r="B2">
        <v>76</v>
      </c>
      <c r="C2">
        <v>90</v>
      </c>
      <c r="D2">
        <v>96</v>
      </c>
    </row>
    <row r="3" spans="1:4">
      <c r="A3" t="s">
        <v>67</v>
      </c>
      <c r="B3">
        <v>103</v>
      </c>
      <c r="C3">
        <v>123</v>
      </c>
      <c r="D3">
        <v>94</v>
      </c>
    </row>
    <row r="4" spans="1:4">
      <c r="A4" t="s">
        <v>68</v>
      </c>
      <c r="B4">
        <v>103</v>
      </c>
      <c r="C4">
        <v>123</v>
      </c>
      <c r="D4">
        <v>94</v>
      </c>
    </row>
    <row r="5" spans="1:4">
      <c r="A5" t="s">
        <v>69</v>
      </c>
      <c r="B5">
        <v>82</v>
      </c>
      <c r="C5">
        <v>99</v>
      </c>
      <c r="D5">
        <v>99</v>
      </c>
    </row>
    <row r="6" spans="1:4">
      <c r="A6" t="s">
        <v>70</v>
      </c>
      <c r="B6">
        <v>82</v>
      </c>
      <c r="C6">
        <v>99</v>
      </c>
      <c r="D6">
        <v>99</v>
      </c>
    </row>
    <row r="7" spans="1:4">
      <c r="A7" t="s">
        <v>71</v>
      </c>
      <c r="B7">
        <v>106</v>
      </c>
      <c r="C7">
        <v>81</v>
      </c>
      <c r="D7">
        <v>118</v>
      </c>
    </row>
    <row r="8" spans="1:4">
      <c r="A8" t="s">
        <v>72</v>
      </c>
      <c r="B8">
        <v>25</v>
      </c>
      <c r="C8">
        <v>83</v>
      </c>
      <c r="D8">
        <v>70</v>
      </c>
    </row>
    <row r="9" spans="1:4">
      <c r="A9" t="s">
        <v>73</v>
      </c>
      <c r="B9">
        <v>49</v>
      </c>
      <c r="C9">
        <v>96</v>
      </c>
      <c r="D9">
        <v>147</v>
      </c>
    </row>
    <row r="10" spans="1:4">
      <c r="A10" t="s">
        <v>74</v>
      </c>
      <c r="B10">
        <v>49</v>
      </c>
      <c r="C10">
        <v>96</v>
      </c>
      <c r="D10">
        <v>147</v>
      </c>
    </row>
    <row r="11" spans="1:4">
      <c r="A11" t="s">
        <v>75</v>
      </c>
      <c r="B11">
        <v>91</v>
      </c>
      <c r="C11">
        <v>192</v>
      </c>
      <c r="D11">
        <v>124</v>
      </c>
    </row>
    <row r="12" spans="1:4">
      <c r="A12" t="s">
        <v>76</v>
      </c>
      <c r="B12">
        <v>91</v>
      </c>
      <c r="C12">
        <v>192</v>
      </c>
      <c r="D12">
        <v>124</v>
      </c>
    </row>
    <row r="13" spans="1:4">
      <c r="A13" t="s">
        <v>77</v>
      </c>
      <c r="B13">
        <v>34</v>
      </c>
      <c r="C13">
        <v>92</v>
      </c>
      <c r="D13">
        <v>87</v>
      </c>
    </row>
    <row r="14" spans="1:4">
      <c r="A14" t="s">
        <v>78</v>
      </c>
      <c r="B14">
        <v>34</v>
      </c>
      <c r="C14">
        <v>92</v>
      </c>
      <c r="D14">
        <v>87</v>
      </c>
    </row>
    <row r="15" spans="1:4">
      <c r="A15" t="s">
        <v>79</v>
      </c>
      <c r="B15">
        <v>40</v>
      </c>
      <c r="C15">
        <v>192</v>
      </c>
      <c r="D15">
        <v>82</v>
      </c>
    </row>
    <row r="16" spans="1:4">
      <c r="A16" t="s">
        <v>80</v>
      </c>
      <c r="B16">
        <v>275</v>
      </c>
      <c r="C16">
        <v>165</v>
      </c>
      <c r="D16">
        <v>263</v>
      </c>
    </row>
    <row r="17" spans="1:4">
      <c r="A17" t="s">
        <v>81</v>
      </c>
      <c r="B17">
        <v>218</v>
      </c>
      <c r="C17">
        <v>134</v>
      </c>
      <c r="D17">
        <v>156</v>
      </c>
    </row>
    <row r="18" spans="1:4">
      <c r="A18" t="s">
        <v>82</v>
      </c>
      <c r="B18">
        <v>143</v>
      </c>
      <c r="C18">
        <v>49</v>
      </c>
      <c r="D18">
        <v>71</v>
      </c>
    </row>
    <row r="19" spans="1:4">
      <c r="A19" t="s">
        <v>83</v>
      </c>
      <c r="B19">
        <v>86</v>
      </c>
      <c r="C19">
        <v>73</v>
      </c>
      <c r="D19">
        <v>83</v>
      </c>
    </row>
    <row r="20" spans="1:4">
      <c r="A20" t="s">
        <v>84</v>
      </c>
      <c r="B20">
        <v>220</v>
      </c>
      <c r="C20">
        <v>90</v>
      </c>
      <c r="D20">
        <v>60</v>
      </c>
    </row>
    <row r="21" spans="1:4">
      <c r="A21" t="s">
        <v>85</v>
      </c>
      <c r="B21">
        <v>160</v>
      </c>
      <c r="C21">
        <v>250</v>
      </c>
      <c r="D21">
        <v>160</v>
      </c>
    </row>
    <row r="22" spans="1:4">
      <c r="A22" t="s">
        <v>86</v>
      </c>
      <c r="B22">
        <v>50</v>
      </c>
      <c r="C22">
        <v>75</v>
      </c>
      <c r="D22">
        <v>75</v>
      </c>
    </row>
    <row r="23" spans="1:4">
      <c r="A23" t="s">
        <v>87</v>
      </c>
      <c r="B23">
        <v>155</v>
      </c>
      <c r="C23">
        <v>177</v>
      </c>
      <c r="D23">
        <v>119</v>
      </c>
    </row>
    <row r="24" spans="1:4">
      <c r="A24" t="s">
        <v>88</v>
      </c>
      <c r="B24">
        <v>219</v>
      </c>
      <c r="C24">
        <v>146</v>
      </c>
      <c r="D24">
        <v>172</v>
      </c>
    </row>
  </sheetData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9458-8CD1-4EA0-8586-87896ECD49C6}">
  <dimension ref="A1:D3"/>
  <sheetViews>
    <sheetView workbookViewId="0">
      <selection activeCell="B4" sqref="B4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89</v>
      </c>
      <c r="B2" s="13">
        <v>438760</v>
      </c>
      <c r="C2" s="13">
        <v>131710</v>
      </c>
      <c r="D2">
        <v>0</v>
      </c>
    </row>
    <row r="3" spans="1:4">
      <c r="A3" t="s">
        <v>90</v>
      </c>
      <c r="B3" s="13">
        <v>212721</v>
      </c>
      <c r="C3" s="13">
        <v>174917</v>
      </c>
      <c r="D3" s="13">
        <v>226695</v>
      </c>
    </row>
  </sheetData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33D3-75FA-4EBA-9947-C5EA223C9E85}">
  <dimension ref="A1:J25"/>
  <sheetViews>
    <sheetView workbookViewId="0">
      <selection activeCell="A18" sqref="A18"/>
    </sheetView>
  </sheetViews>
  <sheetFormatPr defaultRowHeight="18"/>
  <cols>
    <col min="1" max="16384" width="8.6640625" style="6"/>
  </cols>
  <sheetData>
    <row r="1" spans="1:10">
      <c r="B1" s="6" t="s">
        <v>63</v>
      </c>
      <c r="C1" s="6" t="s">
        <v>63</v>
      </c>
      <c r="D1" s="6" t="s">
        <v>63</v>
      </c>
      <c r="E1" s="6" t="s">
        <v>64</v>
      </c>
      <c r="F1" s="6" t="s">
        <v>64</v>
      </c>
      <c r="G1" s="6" t="s">
        <v>64</v>
      </c>
      <c r="H1" s="6" t="s">
        <v>65</v>
      </c>
      <c r="I1" s="6" t="s">
        <v>65</v>
      </c>
      <c r="J1" s="6" t="s">
        <v>65</v>
      </c>
    </row>
    <row r="2" spans="1:10">
      <c r="B2" s="6" t="s">
        <v>91</v>
      </c>
      <c r="C2" s="6" t="s">
        <v>92</v>
      </c>
      <c r="D2" s="6" t="s">
        <v>93</v>
      </c>
      <c r="E2" s="6" t="s">
        <v>91</v>
      </c>
      <c r="F2" s="6" t="s">
        <v>92</v>
      </c>
      <c r="G2" s="6" t="s">
        <v>93</v>
      </c>
      <c r="H2" s="6" t="s">
        <v>91</v>
      </c>
      <c r="I2" s="6" t="s">
        <v>92</v>
      </c>
      <c r="J2" s="6" t="s">
        <v>93</v>
      </c>
    </row>
    <row r="3" spans="1:10">
      <c r="A3" s="14" t="s">
        <v>66</v>
      </c>
      <c r="B3" s="6">
        <v>1.973495875506074E-2</v>
      </c>
      <c r="C3" s="6">
        <v>3.6652131346153838</v>
      </c>
      <c r="D3" s="6">
        <v>76</v>
      </c>
      <c r="E3" s="6">
        <v>1.4347416666666587E-3</v>
      </c>
      <c r="F3" s="6">
        <v>5.0359432500000008</v>
      </c>
      <c r="G3" s="6">
        <v>90</v>
      </c>
      <c r="H3" s="6">
        <v>2.586673677884612E-3</v>
      </c>
      <c r="I3" s="6">
        <v>4.9167493269230773</v>
      </c>
      <c r="J3" s="6">
        <v>96</v>
      </c>
    </row>
    <row r="4" spans="1:10">
      <c r="A4" s="14" t="s">
        <v>67</v>
      </c>
      <c r="B4" s="6">
        <v>5.2237674567771654E-3</v>
      </c>
      <c r="C4" s="6">
        <v>3.831951951951952</v>
      </c>
      <c r="D4" s="6">
        <v>103</v>
      </c>
      <c r="E4" s="6">
        <v>4.6944505481090826E-3</v>
      </c>
      <c r="F4" s="6">
        <v>3.792582582582583</v>
      </c>
      <c r="G4" s="6">
        <v>123</v>
      </c>
      <c r="H4" s="6">
        <v>1.5356846207910065E-3</v>
      </c>
      <c r="I4" s="6">
        <v>4.2256456456456455</v>
      </c>
      <c r="J4" s="6">
        <v>94</v>
      </c>
    </row>
    <row r="5" spans="1:10">
      <c r="A5" s="14" t="s">
        <v>68</v>
      </c>
      <c r="B5" s="6">
        <v>5.2237674567771654E-3</v>
      </c>
      <c r="C5" s="6">
        <v>3.831951951951952</v>
      </c>
      <c r="D5" s="6">
        <v>103</v>
      </c>
      <c r="E5" s="6">
        <v>4.6944505481090826E-3</v>
      </c>
      <c r="F5" s="6">
        <v>3.792582582582583</v>
      </c>
      <c r="G5" s="6">
        <v>123</v>
      </c>
      <c r="H5" s="6">
        <v>1.5356846207910065E-3</v>
      </c>
      <c r="I5" s="6">
        <v>4.2256456456456455</v>
      </c>
      <c r="J5" s="6">
        <v>94</v>
      </c>
    </row>
    <row r="6" spans="1:10">
      <c r="A6" s="14" t="s">
        <v>69</v>
      </c>
      <c r="B6" s="6">
        <v>2.2068292682926829E-2</v>
      </c>
      <c r="C6" s="6">
        <v>1.9603999999999999</v>
      </c>
      <c r="D6" s="6">
        <v>82</v>
      </c>
      <c r="E6" s="6">
        <v>1.2947474747474748E-2</v>
      </c>
      <c r="F6" s="6">
        <v>2.4882</v>
      </c>
      <c r="G6" s="6">
        <v>99</v>
      </c>
      <c r="H6" s="6">
        <v>1.0662626262626264E-2</v>
      </c>
      <c r="I6" s="6">
        <v>2.7143999999999999</v>
      </c>
      <c r="J6" s="6">
        <v>99</v>
      </c>
    </row>
    <row r="7" spans="1:10">
      <c r="A7" s="14" t="s">
        <v>70</v>
      </c>
      <c r="B7" s="6">
        <v>2.2068292682926829E-2</v>
      </c>
      <c r="C7" s="6">
        <v>1.9603999999999999</v>
      </c>
      <c r="D7" s="6">
        <v>82</v>
      </c>
      <c r="E7" s="6">
        <v>1.2947474747474748E-2</v>
      </c>
      <c r="F7" s="6">
        <v>2.4882</v>
      </c>
      <c r="G7" s="6">
        <v>99</v>
      </c>
      <c r="H7" s="6">
        <v>1.0662626262626264E-2</v>
      </c>
      <c r="I7" s="6">
        <v>2.7143999999999999</v>
      </c>
      <c r="J7" s="6">
        <v>99</v>
      </c>
    </row>
    <row r="8" spans="1:10">
      <c r="A8" s="14" t="s">
        <v>71</v>
      </c>
      <c r="B8" s="6">
        <v>1.5804176589118889E-2</v>
      </c>
      <c r="C8" s="6">
        <v>1.2247572815533976</v>
      </c>
      <c r="D8" s="6">
        <v>106</v>
      </c>
      <c r="E8" s="6">
        <v>5.0401534220304509E-3</v>
      </c>
      <c r="F8" s="6">
        <v>2.4917475728155334</v>
      </c>
      <c r="G8" s="6">
        <v>81</v>
      </c>
      <c r="H8" s="6">
        <v>5.9651143656409291E-4</v>
      </c>
      <c r="I8" s="6">
        <v>2.8296116504854369</v>
      </c>
      <c r="J8" s="6">
        <v>118</v>
      </c>
    </row>
    <row r="9" spans="1:10">
      <c r="A9" s="14" t="s">
        <v>72</v>
      </c>
      <c r="B9" s="6">
        <v>1.3033936923076923E-2</v>
      </c>
      <c r="C9" s="6">
        <v>0.28658957692307696</v>
      </c>
      <c r="D9" s="6">
        <v>25</v>
      </c>
      <c r="E9" s="6">
        <v>2.979888322520852E-3</v>
      </c>
      <c r="F9" s="6">
        <v>0.3651072692307693</v>
      </c>
      <c r="G9" s="6">
        <v>83</v>
      </c>
      <c r="H9" s="6">
        <v>1.8647951923076913E-3</v>
      </c>
      <c r="I9" s="6">
        <v>0.48190233653846165</v>
      </c>
      <c r="J9" s="6">
        <v>70</v>
      </c>
    </row>
    <row r="10" spans="1:10">
      <c r="A10" s="14" t="s">
        <v>73</v>
      </c>
      <c r="B10" s="6">
        <v>7.9033860735305286E-2</v>
      </c>
      <c r="C10" s="6">
        <v>18.127340823970041</v>
      </c>
      <c r="D10" s="6">
        <v>49</v>
      </c>
      <c r="E10" s="6">
        <v>6.8664169787765088E-3</v>
      </c>
      <c r="F10" s="6">
        <v>21.340823970037455</v>
      </c>
      <c r="G10" s="6">
        <v>96</v>
      </c>
      <c r="H10" s="6">
        <v>1.681571505006498E-3</v>
      </c>
      <c r="I10" s="6">
        <v>21.752808988764045</v>
      </c>
      <c r="J10" s="6">
        <v>147</v>
      </c>
    </row>
    <row r="11" spans="1:10">
      <c r="A11" s="14" t="s">
        <v>74</v>
      </c>
      <c r="B11" s="6">
        <v>7.9033860735305286E-2</v>
      </c>
      <c r="C11" s="6">
        <v>18.127340823970041</v>
      </c>
      <c r="D11" s="6">
        <v>49</v>
      </c>
      <c r="E11" s="6">
        <v>6.8664169787765088E-3</v>
      </c>
      <c r="F11" s="6">
        <v>21.340823970037455</v>
      </c>
      <c r="G11" s="6">
        <v>96</v>
      </c>
      <c r="H11" s="6">
        <v>1.681571505006498E-3</v>
      </c>
      <c r="I11" s="6">
        <v>21.752808988764045</v>
      </c>
      <c r="J11" s="6">
        <v>147</v>
      </c>
    </row>
    <row r="12" spans="1:10">
      <c r="A12" s="14" t="s">
        <v>75</v>
      </c>
      <c r="B12" s="6">
        <v>0.15397250818017111</v>
      </c>
      <c r="C12" s="6">
        <v>17.988501755604428</v>
      </c>
      <c r="D12" s="6">
        <v>91</v>
      </c>
      <c r="E12" s="6">
        <v>8.4512004439079316E-2</v>
      </c>
      <c r="F12" s="6">
        <v>15.773695147696769</v>
      </c>
      <c r="G12" s="6">
        <v>192</v>
      </c>
      <c r="H12" s="6">
        <v>9.7685112826500928E-2</v>
      </c>
      <c r="I12" s="6">
        <v>19.887046009513885</v>
      </c>
      <c r="J12" s="6">
        <v>124</v>
      </c>
    </row>
    <row r="13" spans="1:10">
      <c r="A13" s="14" t="s">
        <v>76</v>
      </c>
      <c r="B13" s="6">
        <v>0.15397250818017111</v>
      </c>
      <c r="C13" s="6">
        <v>17.988501755604428</v>
      </c>
      <c r="D13" s="6">
        <v>91</v>
      </c>
      <c r="E13" s="6">
        <v>8.4512004439079316E-2</v>
      </c>
      <c r="F13" s="6">
        <v>15.773695147696769</v>
      </c>
      <c r="G13" s="6">
        <v>192</v>
      </c>
      <c r="H13" s="6">
        <v>9.7685112826500928E-2</v>
      </c>
      <c r="I13" s="6">
        <v>19.887046009513885</v>
      </c>
      <c r="J13" s="6">
        <v>124</v>
      </c>
    </row>
    <row r="14" spans="1:10">
      <c r="A14" s="14" t="s">
        <v>77</v>
      </c>
      <c r="B14" s="6">
        <v>1.8575851393188854E-2</v>
      </c>
      <c r="C14" s="6">
        <v>0.96842105263157907</v>
      </c>
      <c r="D14" s="6">
        <v>34</v>
      </c>
      <c r="E14" s="6">
        <v>1.3272311212814648E-2</v>
      </c>
      <c r="F14" s="6">
        <v>0.37894736842105259</v>
      </c>
      <c r="G14" s="6">
        <v>92</v>
      </c>
      <c r="H14" s="6">
        <v>9.1954022988505746E-3</v>
      </c>
      <c r="I14" s="6">
        <v>0.8</v>
      </c>
      <c r="J14" s="6">
        <v>87</v>
      </c>
    </row>
    <row r="15" spans="1:10">
      <c r="A15" s="14" t="s">
        <v>78</v>
      </c>
      <c r="B15" s="6">
        <v>1.8575851393188854E-2</v>
      </c>
      <c r="C15" s="6">
        <v>0.96842105263157907</v>
      </c>
      <c r="D15" s="6">
        <v>34</v>
      </c>
      <c r="E15" s="6">
        <v>1.3272311212814648E-2</v>
      </c>
      <c r="F15" s="6">
        <v>0.37894736842105259</v>
      </c>
      <c r="G15" s="6">
        <v>92</v>
      </c>
      <c r="H15" s="6">
        <v>9.1954022988505746E-3</v>
      </c>
      <c r="I15" s="6">
        <v>0.8</v>
      </c>
      <c r="J15" s="6">
        <v>87</v>
      </c>
    </row>
    <row r="16" spans="1:10">
      <c r="A16" s="14" t="s">
        <v>79</v>
      </c>
      <c r="B16" s="6">
        <v>4.3438049999999949E-3</v>
      </c>
      <c r="C16" s="6">
        <v>1.7568278000000002</v>
      </c>
      <c r="D16" s="6">
        <v>40</v>
      </c>
      <c r="E16" s="6">
        <v>1.8099187500000002E-3</v>
      </c>
      <c r="F16" s="6">
        <v>1.5830755999999999</v>
      </c>
      <c r="G16" s="6">
        <v>192</v>
      </c>
      <c r="H16" s="6">
        <v>3.0606756097560999E-3</v>
      </c>
      <c r="I16" s="6">
        <v>1.6796045999999998</v>
      </c>
      <c r="J16" s="6">
        <v>82</v>
      </c>
    </row>
    <row r="17" spans="1:10">
      <c r="A17" s="14" t="s">
        <v>80</v>
      </c>
      <c r="B17" s="6">
        <v>9.8742253341764966E-2</v>
      </c>
      <c r="C17" s="6">
        <v>4.725780331014632</v>
      </c>
      <c r="D17" s="6">
        <v>275</v>
      </c>
      <c r="E17" s="6">
        <v>7.0212387971826662E-2</v>
      </c>
      <c r="F17" s="6">
        <v>20.294855984648599</v>
      </c>
      <c r="G17" s="6">
        <v>165</v>
      </c>
      <c r="H17" s="6">
        <v>-7.2689103987697175E-4</v>
      </c>
      <c r="I17" s="6">
        <v>32.071072343487643</v>
      </c>
      <c r="J17" s="6">
        <v>263</v>
      </c>
    </row>
    <row r="18" spans="1:10">
      <c r="A18" s="14" t="s">
        <v>81</v>
      </c>
      <c r="B18" s="6">
        <v>8.6238532110091748E-2</v>
      </c>
      <c r="C18" s="6">
        <v>0</v>
      </c>
      <c r="D18" s="6">
        <v>218</v>
      </c>
      <c r="E18" s="6">
        <v>6.2674695644647241E-2</v>
      </c>
      <c r="F18" s="6">
        <v>10.401590783617271</v>
      </c>
      <c r="G18" s="6">
        <v>134</v>
      </c>
      <c r="H18" s="6">
        <v>7.7468784454356981E-2</v>
      </c>
      <c r="I18" s="6">
        <v>6.7148696251203104</v>
      </c>
      <c r="J18" s="6">
        <v>156</v>
      </c>
    </row>
    <row r="19" spans="1:10">
      <c r="A19" s="14" t="s">
        <v>82</v>
      </c>
      <c r="B19" s="6">
        <v>2.5343101147420232E-2</v>
      </c>
      <c r="C19" s="6">
        <v>17.375936535918907</v>
      </c>
      <c r="D19" s="6">
        <v>143</v>
      </c>
      <c r="E19" s="6">
        <v>5.4235885627940107E-2</v>
      </c>
      <c r="F19" s="6">
        <v>18.342441604230935</v>
      </c>
      <c r="G19" s="6">
        <v>49</v>
      </c>
      <c r="H19" s="6">
        <v>2.2923792202310358E-2</v>
      </c>
      <c r="I19" s="6">
        <v>19.372410753635965</v>
      </c>
      <c r="J19" s="6">
        <v>71</v>
      </c>
    </row>
    <row r="20" spans="1:10">
      <c r="A20" s="14" t="s">
        <v>83</v>
      </c>
      <c r="B20" s="6">
        <v>3.9360139656650077E-2</v>
      </c>
      <c r="C20" s="6">
        <v>6.1007179895280936</v>
      </c>
      <c r="D20" s="6">
        <v>86</v>
      </c>
      <c r="E20" s="6">
        <v>3.7594517881231949E-2</v>
      </c>
      <c r="F20" s="6">
        <v>6.7412901946700678</v>
      </c>
      <c r="G20" s="6">
        <v>73</v>
      </c>
      <c r="H20" s="6">
        <v>3.2942310580847942E-2</v>
      </c>
      <c r="I20" s="6">
        <v>6.751478221789621</v>
      </c>
      <c r="J20" s="6">
        <v>83</v>
      </c>
    </row>
    <row r="21" spans="1:10">
      <c r="A21" s="14" t="s">
        <v>84</v>
      </c>
      <c r="B21" s="6">
        <v>0.14601502033122066</v>
      </c>
      <c r="C21" s="6">
        <v>13.769779286926994</v>
      </c>
      <c r="D21" s="6">
        <v>281</v>
      </c>
      <c r="E21" s="6">
        <v>1.3657108144733004E-2</v>
      </c>
      <c r="F21" s="6">
        <v>53.3113752122241</v>
      </c>
      <c r="G21" s="6">
        <v>109</v>
      </c>
      <c r="H21" s="6">
        <v>1.2405206564799147E-2</v>
      </c>
      <c r="I21" s="6">
        <v>53.3113752122241</v>
      </c>
      <c r="J21" s="6">
        <v>120</v>
      </c>
    </row>
    <row r="22" spans="1:10">
      <c r="A22" s="14" t="s">
        <v>85</v>
      </c>
      <c r="B22" s="6">
        <v>6.5796344647519558E-2</v>
      </c>
      <c r="C22" s="6">
        <v>53.472584856396871</v>
      </c>
      <c r="D22" s="6">
        <v>160</v>
      </c>
      <c r="E22" s="6">
        <v>4.1441253263707553E-2</v>
      </c>
      <c r="F22" s="6">
        <v>53.639686684073112</v>
      </c>
      <c r="G22" s="6">
        <v>250</v>
      </c>
      <c r="H22" s="6">
        <v>3.0809399477806743E-2</v>
      </c>
      <c r="I22" s="6">
        <v>59.070496083550921</v>
      </c>
      <c r="J22" s="6">
        <v>160</v>
      </c>
    </row>
    <row r="23" spans="1:10">
      <c r="A23" s="14" t="s">
        <v>86</v>
      </c>
      <c r="B23" s="6">
        <v>7.5665744327614833E-3</v>
      </c>
      <c r="C23" s="6">
        <v>1.7316712783619257</v>
      </c>
      <c r="D23" s="6">
        <v>50</v>
      </c>
      <c r="E23" s="6">
        <v>3.5419664268585144E-3</v>
      </c>
      <c r="F23" s="6">
        <v>1.8443525179856113</v>
      </c>
      <c r="G23" s="6">
        <v>75</v>
      </c>
      <c r="H23" s="6">
        <v>0</v>
      </c>
      <c r="I23" s="6">
        <v>2.11</v>
      </c>
      <c r="J23" s="6">
        <v>75</v>
      </c>
    </row>
    <row r="24" spans="1:10">
      <c r="A24" s="14" t="s">
        <v>87</v>
      </c>
      <c r="B24" s="6">
        <v>1.1003542519708481E-2</v>
      </c>
      <c r="C24" s="6">
        <v>0.87621001810500909</v>
      </c>
      <c r="D24" s="6">
        <v>223</v>
      </c>
      <c r="E24" s="6">
        <v>1.7890840042981003E-3</v>
      </c>
      <c r="F24" s="6">
        <v>2.8898853349426674</v>
      </c>
      <c r="G24" s="6">
        <v>246</v>
      </c>
      <c r="H24" s="6">
        <v>1.9010259505129382E-4</v>
      </c>
      <c r="I24" s="6">
        <v>3.2877972238986128</v>
      </c>
      <c r="J24" s="6">
        <v>222</v>
      </c>
    </row>
    <row r="25" spans="1:10">
      <c r="A25" s="14" t="s">
        <v>88</v>
      </c>
      <c r="B25" s="6">
        <v>5.5905260290236929E-4</v>
      </c>
      <c r="C25" s="6">
        <v>0.87028747996438116</v>
      </c>
      <c r="D25" s="6">
        <v>219</v>
      </c>
      <c r="E25" s="6">
        <v>4.8135034582027033E-4</v>
      </c>
      <c r="F25" s="6">
        <v>0.92244284951024058</v>
      </c>
      <c r="G25" s="6">
        <v>146</v>
      </c>
      <c r="H25" s="6">
        <v>2.5697363788853284E-5</v>
      </c>
      <c r="I25" s="6">
        <v>0.98830005342831728</v>
      </c>
      <c r="J25" s="6">
        <v>172</v>
      </c>
    </row>
  </sheetData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ADD6-F4E8-490A-B06C-4FC4B5C6620E}">
  <dimension ref="A1:B23"/>
  <sheetViews>
    <sheetView workbookViewId="0">
      <selection activeCell="A16" sqref="A16"/>
    </sheetView>
  </sheetViews>
  <sheetFormatPr defaultRowHeight="18"/>
  <cols>
    <col min="1" max="1" width="12.33203125" customWidth="1"/>
  </cols>
  <sheetData>
    <row r="1" spans="1:2">
      <c r="A1" t="s">
        <v>66</v>
      </c>
      <c r="B1">
        <v>22</v>
      </c>
    </row>
    <row r="2" spans="1:2">
      <c r="A2" t="s">
        <v>67</v>
      </c>
      <c r="B2">
        <v>3.3</v>
      </c>
    </row>
    <row r="3" spans="1:2">
      <c r="A3" t="s">
        <v>68</v>
      </c>
      <c r="B3">
        <v>3.3</v>
      </c>
    </row>
    <row r="4" spans="1:2" ht="17.5" customHeight="1">
      <c r="A4" t="s">
        <v>69</v>
      </c>
      <c r="B4">
        <v>3.3</v>
      </c>
    </row>
    <row r="5" spans="1:2">
      <c r="A5" t="s">
        <v>70</v>
      </c>
      <c r="B5">
        <v>3.3</v>
      </c>
    </row>
    <row r="6" spans="1:2">
      <c r="A6" t="s">
        <v>71</v>
      </c>
      <c r="B6">
        <v>3.3</v>
      </c>
    </row>
    <row r="7" spans="1:2">
      <c r="A7" t="s">
        <v>94</v>
      </c>
      <c r="B7">
        <v>3.3</v>
      </c>
    </row>
    <row r="8" spans="1:2">
      <c r="A8" t="s">
        <v>95</v>
      </c>
      <c r="B8">
        <v>86</v>
      </c>
    </row>
    <row r="9" spans="1:2">
      <c r="A9" t="s">
        <v>74</v>
      </c>
      <c r="B9">
        <v>86</v>
      </c>
    </row>
    <row r="10" spans="1:2">
      <c r="A10" t="s">
        <v>75</v>
      </c>
      <c r="B10">
        <v>11</v>
      </c>
    </row>
    <row r="11" spans="1:2">
      <c r="A11" t="s">
        <v>76</v>
      </c>
      <c r="B11">
        <v>11</v>
      </c>
    </row>
    <row r="12" spans="1:2">
      <c r="A12" t="s">
        <v>77</v>
      </c>
      <c r="B12">
        <v>5.6</v>
      </c>
    </row>
    <row r="13" spans="1:2">
      <c r="A13" t="s">
        <v>78</v>
      </c>
      <c r="B13">
        <v>5.6</v>
      </c>
    </row>
    <row r="14" spans="1:2">
      <c r="A14" t="s">
        <v>79</v>
      </c>
      <c r="B14">
        <v>5.6</v>
      </c>
    </row>
    <row r="15" spans="1:2">
      <c r="A15" t="s">
        <v>80</v>
      </c>
      <c r="B15">
        <v>163</v>
      </c>
    </row>
    <row r="16" spans="1:2">
      <c r="A16" t="s">
        <v>81</v>
      </c>
      <c r="B16">
        <v>267</v>
      </c>
    </row>
    <row r="17" spans="1:2">
      <c r="A17" t="s">
        <v>82</v>
      </c>
      <c r="B17">
        <v>267</v>
      </c>
    </row>
    <row r="18" spans="1:2">
      <c r="A18" t="s">
        <v>83</v>
      </c>
      <c r="B18">
        <v>267</v>
      </c>
    </row>
    <row r="19" spans="1:2">
      <c r="A19" t="s">
        <v>96</v>
      </c>
      <c r="B19">
        <v>33</v>
      </c>
    </row>
    <row r="20" spans="1:2">
      <c r="A20" t="s">
        <v>85</v>
      </c>
      <c r="B20">
        <v>11</v>
      </c>
    </row>
    <row r="21" spans="1:2">
      <c r="A21" t="s">
        <v>97</v>
      </c>
      <c r="B21">
        <v>3.3</v>
      </c>
    </row>
    <row r="22" spans="1:2">
      <c r="A22" t="s">
        <v>98</v>
      </c>
      <c r="B22">
        <v>3.3</v>
      </c>
    </row>
    <row r="23" spans="1:2">
      <c r="A23" t="s">
        <v>99</v>
      </c>
      <c r="B23">
        <v>3.3</v>
      </c>
    </row>
  </sheetData>
  <phoneticPr fontId="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2DA6-CDE9-4B9A-889B-6D78B6DE0057}">
  <dimension ref="A1:B7"/>
  <sheetViews>
    <sheetView workbookViewId="0">
      <selection activeCell="C12" sqref="C12"/>
    </sheetView>
  </sheetViews>
  <sheetFormatPr defaultRowHeight="18"/>
  <cols>
    <col min="1" max="1" width="12.33203125" customWidth="1"/>
  </cols>
  <sheetData>
    <row r="1" spans="1:2">
      <c r="A1" t="s">
        <v>100</v>
      </c>
      <c r="B1">
        <v>44</v>
      </c>
    </row>
    <row r="2" spans="1:2">
      <c r="A2" t="s">
        <v>101</v>
      </c>
      <c r="B2">
        <v>44</v>
      </c>
    </row>
    <row r="3" spans="1:2">
      <c r="A3" t="s">
        <v>102</v>
      </c>
      <c r="B3">
        <v>44</v>
      </c>
    </row>
    <row r="4" spans="1:2">
      <c r="A4" t="s">
        <v>103</v>
      </c>
      <c r="B4">
        <v>3.1</v>
      </c>
    </row>
    <row r="5" spans="1:2">
      <c r="A5" t="s">
        <v>104</v>
      </c>
      <c r="B5">
        <v>0.02</v>
      </c>
    </row>
    <row r="6" spans="1:2">
      <c r="A6" t="s">
        <v>105</v>
      </c>
      <c r="B6">
        <v>0.2</v>
      </c>
    </row>
    <row r="7" spans="1:2">
      <c r="A7" t="s">
        <v>106</v>
      </c>
      <c r="B7">
        <v>123</v>
      </c>
    </row>
  </sheetData>
  <phoneticPr fontId="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AD68-0440-4C75-8AA8-01E2A8FA93E5}">
  <sheetPr>
    <pageSetUpPr fitToPage="1"/>
  </sheetPr>
  <dimension ref="A1:K15"/>
  <sheetViews>
    <sheetView workbookViewId="0">
      <selection activeCell="A3" sqref="A3:A15"/>
    </sheetView>
  </sheetViews>
  <sheetFormatPr defaultRowHeight="18"/>
  <cols>
    <col min="1" max="11" width="10.6640625" style="6" customWidth="1"/>
    <col min="12" max="16384" width="8.6640625" style="6"/>
  </cols>
  <sheetData>
    <row r="1" spans="1:11">
      <c r="B1" s="6" t="s">
        <v>149</v>
      </c>
      <c r="C1" s="6" t="s">
        <v>149</v>
      </c>
      <c r="D1" s="6" t="s">
        <v>149</v>
      </c>
      <c r="E1" s="6" t="s">
        <v>149</v>
      </c>
      <c r="F1" s="6" t="s">
        <v>149</v>
      </c>
      <c r="G1" s="6" t="s">
        <v>150</v>
      </c>
      <c r="H1" s="6" t="s">
        <v>150</v>
      </c>
      <c r="I1" s="6" t="s">
        <v>150</v>
      </c>
      <c r="J1" s="6" t="s">
        <v>150</v>
      </c>
      <c r="K1" s="6" t="s">
        <v>150</v>
      </c>
    </row>
    <row r="2" spans="1:11">
      <c r="A2" s="30"/>
      <c r="B2" s="31" t="s">
        <v>151</v>
      </c>
      <c r="C2" s="1" t="s">
        <v>152</v>
      </c>
      <c r="D2" s="6" t="s">
        <v>153</v>
      </c>
      <c r="E2" s="6" t="s">
        <v>154</v>
      </c>
      <c r="F2" s="6" t="s">
        <v>155</v>
      </c>
      <c r="G2" s="31" t="s">
        <v>151</v>
      </c>
      <c r="H2" s="1" t="s">
        <v>152</v>
      </c>
      <c r="I2" s="6" t="s">
        <v>153</v>
      </c>
      <c r="J2" s="6" t="s">
        <v>154</v>
      </c>
      <c r="K2" s="6" t="s">
        <v>155</v>
      </c>
    </row>
    <row r="3" spans="1:11">
      <c r="A3" s="32" t="s">
        <v>156</v>
      </c>
      <c r="B3" s="33">
        <v>0.40899999999999997</v>
      </c>
      <c r="C3" s="34">
        <f>550+(700-550)/2</f>
        <v>625</v>
      </c>
      <c r="D3" s="35">
        <v>20.350000000000001</v>
      </c>
      <c r="E3" s="35">
        <v>18.75</v>
      </c>
      <c r="F3" s="35">
        <v>93.75</v>
      </c>
      <c r="G3" s="33">
        <v>0.38900000000000001</v>
      </c>
      <c r="H3" s="34">
        <f>500+(650-500)/2</f>
        <v>575</v>
      </c>
      <c r="I3" s="35">
        <v>18.700000000000003</v>
      </c>
      <c r="J3" s="35">
        <v>17.25</v>
      </c>
      <c r="K3" s="35">
        <v>86.25</v>
      </c>
    </row>
    <row r="4" spans="1:11">
      <c r="A4" s="32" t="s">
        <v>157</v>
      </c>
      <c r="B4" s="33">
        <v>0.85099999999999998</v>
      </c>
      <c r="C4" s="6">
        <v>950</v>
      </c>
      <c r="D4" s="36">
        <v>30.875</v>
      </c>
      <c r="E4" s="36">
        <v>28.5</v>
      </c>
      <c r="F4" s="36">
        <v>142.5</v>
      </c>
      <c r="G4" s="33">
        <v>0.81200000000000006</v>
      </c>
      <c r="H4" s="6">
        <v>900</v>
      </c>
      <c r="I4" s="36">
        <v>29.25</v>
      </c>
      <c r="J4" s="36">
        <v>27.000000000000004</v>
      </c>
      <c r="K4" s="36">
        <v>135</v>
      </c>
    </row>
    <row r="5" spans="1:11">
      <c r="A5" s="32" t="s">
        <v>158</v>
      </c>
      <c r="B5" s="33">
        <v>1.3939999999999999</v>
      </c>
      <c r="C5" s="25">
        <v>1300</v>
      </c>
      <c r="D5" s="36">
        <v>42.25</v>
      </c>
      <c r="E5" s="36">
        <v>39</v>
      </c>
      <c r="F5" s="36">
        <v>195</v>
      </c>
      <c r="G5" s="33">
        <v>1.33</v>
      </c>
      <c r="H5" s="25">
        <v>1250</v>
      </c>
      <c r="I5" s="36">
        <v>40.625</v>
      </c>
      <c r="J5" s="36">
        <v>37.5</v>
      </c>
      <c r="K5" s="36">
        <v>187.5</v>
      </c>
    </row>
    <row r="6" spans="1:11">
      <c r="A6" s="32" t="s">
        <v>159</v>
      </c>
      <c r="B6" s="33">
        <v>1.016</v>
      </c>
      <c r="C6" s="25">
        <v>1550</v>
      </c>
      <c r="D6" s="36">
        <v>50.375</v>
      </c>
      <c r="E6" s="36">
        <v>46.5</v>
      </c>
      <c r="F6" s="36">
        <v>232.5</v>
      </c>
      <c r="G6" s="33">
        <v>0.96699999999999997</v>
      </c>
      <c r="H6" s="25">
        <v>1450</v>
      </c>
      <c r="I6" s="36">
        <v>47.125</v>
      </c>
      <c r="J6" s="36">
        <v>43.5</v>
      </c>
      <c r="K6" s="36">
        <v>217.5</v>
      </c>
    </row>
    <row r="7" spans="1:11">
      <c r="A7" s="32" t="s">
        <v>160</v>
      </c>
      <c r="B7" s="33">
        <v>1.0389999999999999</v>
      </c>
      <c r="C7" s="25">
        <v>1850</v>
      </c>
      <c r="D7" s="36">
        <v>60.125</v>
      </c>
      <c r="E7" s="36">
        <v>55.500000000000007</v>
      </c>
      <c r="F7" s="36">
        <v>277.5</v>
      </c>
      <c r="G7" s="33">
        <v>0.98899999999999999</v>
      </c>
      <c r="H7" s="25">
        <v>1700</v>
      </c>
      <c r="I7" s="36">
        <v>55.25</v>
      </c>
      <c r="J7" s="36">
        <v>51.000000000000007</v>
      </c>
      <c r="K7" s="36">
        <v>255</v>
      </c>
    </row>
    <row r="8" spans="1:11">
      <c r="A8" s="32" t="s">
        <v>161</v>
      </c>
      <c r="B8" s="33">
        <v>1.0680000000000001</v>
      </c>
      <c r="C8" s="25">
        <v>2250</v>
      </c>
      <c r="D8" s="36">
        <v>73.125</v>
      </c>
      <c r="E8" s="36">
        <v>67.5</v>
      </c>
      <c r="F8" s="36">
        <v>337.5</v>
      </c>
      <c r="G8" s="33">
        <v>1.0169999999999999</v>
      </c>
      <c r="H8" s="25">
        <v>2100</v>
      </c>
      <c r="I8" s="36">
        <v>68.25</v>
      </c>
      <c r="J8" s="36">
        <v>63</v>
      </c>
      <c r="K8" s="36">
        <v>315</v>
      </c>
    </row>
    <row r="9" spans="1:11">
      <c r="A9" s="32" t="s">
        <v>162</v>
      </c>
      <c r="B9" s="33">
        <v>1.6519999999999999</v>
      </c>
      <c r="C9" s="25">
        <v>2600</v>
      </c>
      <c r="D9" s="36">
        <v>84.5</v>
      </c>
      <c r="E9" s="36">
        <v>78</v>
      </c>
      <c r="F9" s="36">
        <v>390</v>
      </c>
      <c r="G9" s="33">
        <v>1.571</v>
      </c>
      <c r="H9" s="25">
        <v>2400</v>
      </c>
      <c r="I9" s="36">
        <v>78</v>
      </c>
      <c r="J9" s="36">
        <v>72</v>
      </c>
      <c r="K9" s="36">
        <v>360</v>
      </c>
    </row>
    <row r="10" spans="1:11">
      <c r="A10" s="32" t="s">
        <v>163</v>
      </c>
      <c r="B10" s="33">
        <v>1.66</v>
      </c>
      <c r="C10" s="25">
        <v>2800</v>
      </c>
      <c r="D10" s="36">
        <v>91</v>
      </c>
      <c r="E10" s="36">
        <v>84</v>
      </c>
      <c r="F10" s="36">
        <v>420</v>
      </c>
      <c r="G10" s="33">
        <v>1.5760000000000001</v>
      </c>
      <c r="H10" s="25">
        <v>2300</v>
      </c>
      <c r="I10" s="36">
        <v>74.75</v>
      </c>
      <c r="J10" s="36">
        <v>69</v>
      </c>
      <c r="K10" s="36">
        <v>345</v>
      </c>
    </row>
    <row r="11" spans="1:11">
      <c r="A11" s="32" t="s">
        <v>164</v>
      </c>
      <c r="B11" s="33">
        <v>7.681</v>
      </c>
      <c r="C11" s="25">
        <v>2650</v>
      </c>
      <c r="D11" s="36">
        <v>86.125</v>
      </c>
      <c r="E11" s="36">
        <v>79.5</v>
      </c>
      <c r="F11" s="36">
        <v>397.5</v>
      </c>
      <c r="G11" s="33">
        <v>7.2709999999999999</v>
      </c>
      <c r="H11" s="25">
        <v>2000</v>
      </c>
      <c r="I11" s="36">
        <v>65</v>
      </c>
      <c r="J11" s="36">
        <v>60</v>
      </c>
      <c r="K11" s="36">
        <v>300</v>
      </c>
    </row>
    <row r="12" spans="1:11">
      <c r="A12" s="32" t="s">
        <v>165</v>
      </c>
      <c r="B12" s="33">
        <v>15.788</v>
      </c>
      <c r="C12" s="25">
        <v>2700</v>
      </c>
      <c r="D12" s="36">
        <v>87.75</v>
      </c>
      <c r="E12" s="36">
        <v>81</v>
      </c>
      <c r="F12" s="36">
        <v>405</v>
      </c>
      <c r="G12" s="33">
        <v>15.279</v>
      </c>
      <c r="H12" s="25">
        <v>2050</v>
      </c>
      <c r="I12" s="36">
        <v>66.625</v>
      </c>
      <c r="J12" s="36">
        <v>61.5</v>
      </c>
      <c r="K12" s="36">
        <v>307.5</v>
      </c>
    </row>
    <row r="13" spans="1:11">
      <c r="A13" s="32" t="s">
        <v>166</v>
      </c>
      <c r="B13" s="33">
        <v>12.476000000000001</v>
      </c>
      <c r="C13" s="25">
        <v>2600</v>
      </c>
      <c r="D13" s="36">
        <v>84.5</v>
      </c>
      <c r="E13" s="36">
        <v>78</v>
      </c>
      <c r="F13" s="36">
        <v>390</v>
      </c>
      <c r="G13" s="33">
        <v>12.48</v>
      </c>
      <c r="H13" s="25">
        <v>1950</v>
      </c>
      <c r="I13" s="36">
        <v>63.375</v>
      </c>
      <c r="J13" s="36">
        <v>58.5</v>
      </c>
      <c r="K13" s="36">
        <v>292.5</v>
      </c>
    </row>
    <row r="14" spans="1:11">
      <c r="A14" s="32" t="s">
        <v>167</v>
      </c>
      <c r="B14" s="33">
        <v>8.07</v>
      </c>
      <c r="C14" s="25">
        <v>2400</v>
      </c>
      <c r="D14" s="36">
        <v>78</v>
      </c>
      <c r="E14" s="36">
        <v>72</v>
      </c>
      <c r="F14" s="36">
        <v>360</v>
      </c>
      <c r="G14" s="33">
        <v>8.8010000000000002</v>
      </c>
      <c r="H14" s="25">
        <v>1850</v>
      </c>
      <c r="I14" s="36">
        <v>60.125</v>
      </c>
      <c r="J14" s="36">
        <v>55.500000000000007</v>
      </c>
      <c r="K14" s="36">
        <v>277.5</v>
      </c>
    </row>
    <row r="15" spans="1:11">
      <c r="A15" s="32" t="s">
        <v>168</v>
      </c>
      <c r="B15" s="33">
        <v>7.6539999999999999</v>
      </c>
      <c r="C15" s="25">
        <v>2100</v>
      </c>
      <c r="D15" s="36">
        <v>68.25</v>
      </c>
      <c r="E15" s="36">
        <v>63</v>
      </c>
      <c r="F15" s="36">
        <v>315</v>
      </c>
      <c r="G15" s="33">
        <v>11.71</v>
      </c>
      <c r="H15" s="25">
        <v>1650</v>
      </c>
      <c r="I15" s="36">
        <v>53.625</v>
      </c>
      <c r="J15" s="36">
        <v>49.500000000000007</v>
      </c>
      <c r="K15" s="36">
        <v>247.5</v>
      </c>
    </row>
  </sheetData>
  <phoneticPr fontId="4"/>
  <pageMargins left="0.7" right="0.7" top="0.75" bottom="0.75" header="0.3" footer="0.3"/>
  <pageSetup paperSize="9" scale="82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0CB-7E49-4A77-BBED-CD21236B41AF}">
  <dimension ref="A1:K35"/>
  <sheetViews>
    <sheetView tabSelected="1" zoomScaleNormal="100" zoomScaleSheetLayoutView="100" workbookViewId="0">
      <pane xSplit="1" ySplit="2" topLeftCell="B3" activePane="bottomRight" state="frozen"/>
      <selection pane="topRight" activeCell="D1" sqref="D1"/>
      <selection pane="bottomLeft" activeCell="A4" sqref="A4"/>
      <selection pane="bottomRight" activeCell="I31" sqref="I31"/>
    </sheetView>
  </sheetViews>
  <sheetFormatPr defaultRowHeight="18"/>
  <cols>
    <col min="1" max="1" width="15.6640625" style="6" customWidth="1"/>
    <col min="2" max="11" width="10.6640625" style="6" customWidth="1"/>
    <col min="12" max="16384" width="8.6640625" style="6"/>
  </cols>
  <sheetData>
    <row r="1" spans="1:11">
      <c r="B1" s="6" t="s">
        <v>169</v>
      </c>
      <c r="C1" s="6" t="s">
        <v>169</v>
      </c>
      <c r="D1" s="6" t="s">
        <v>169</v>
      </c>
      <c r="E1" s="6" t="s">
        <v>169</v>
      </c>
      <c r="F1" s="6" t="s">
        <v>169</v>
      </c>
      <c r="G1" s="6" t="s">
        <v>169</v>
      </c>
      <c r="H1" s="6" t="s">
        <v>170</v>
      </c>
      <c r="I1" s="6" t="s">
        <v>170</v>
      </c>
      <c r="J1" s="6" t="s">
        <v>170</v>
      </c>
      <c r="K1" s="6" t="s">
        <v>170</v>
      </c>
    </row>
    <row r="2" spans="1:11" s="1" customFormat="1">
      <c r="B2" s="1" t="s">
        <v>171</v>
      </c>
      <c r="C2" s="1" t="s">
        <v>172</v>
      </c>
      <c r="D2" s="1" t="s">
        <v>152</v>
      </c>
      <c r="E2" s="1" t="s">
        <v>153</v>
      </c>
      <c r="F2" s="1" t="s">
        <v>154</v>
      </c>
      <c r="G2" s="37" t="s">
        <v>155</v>
      </c>
      <c r="H2" s="38" t="s">
        <v>152</v>
      </c>
      <c r="I2" s="38" t="s">
        <v>153</v>
      </c>
      <c r="J2" s="38" t="s">
        <v>154</v>
      </c>
      <c r="K2" s="38" t="s">
        <v>155</v>
      </c>
    </row>
    <row r="3" spans="1:11">
      <c r="A3" s="3" t="s">
        <v>15</v>
      </c>
      <c r="B3" s="6">
        <v>50.9</v>
      </c>
      <c r="C3" s="6">
        <v>139.30000000000001</v>
      </c>
      <c r="D3" s="6">
        <v>476.5</v>
      </c>
      <c r="E3" s="6">
        <v>8.5</v>
      </c>
      <c r="F3" s="6">
        <v>1.3</v>
      </c>
      <c r="G3" s="39">
        <f>(D3-E3*4-F3*9)/4</f>
        <v>107.7</v>
      </c>
      <c r="H3" s="42">
        <v>358</v>
      </c>
      <c r="I3" s="42">
        <v>6.1</v>
      </c>
      <c r="J3" s="42">
        <v>0.9</v>
      </c>
      <c r="K3" s="39">
        <f>(H3-I3*4-J3*9)/4</f>
        <v>81.375</v>
      </c>
    </row>
    <row r="4" spans="1:11">
      <c r="A4" s="3" t="s">
        <v>16</v>
      </c>
      <c r="B4" s="6">
        <v>31.7</v>
      </c>
      <c r="C4" s="6">
        <v>86.7</v>
      </c>
      <c r="D4" s="6">
        <v>299.2</v>
      </c>
      <c r="E4" s="6">
        <v>9.1</v>
      </c>
      <c r="F4" s="6">
        <v>1.6</v>
      </c>
      <c r="G4" s="39">
        <f t="shared" ref="G4:G30" si="0">(D4-E4*4-F4*9)/4</f>
        <v>62.1</v>
      </c>
      <c r="H4" s="42">
        <v>368</v>
      </c>
      <c r="I4" s="42">
        <v>9.6999999999999993</v>
      </c>
      <c r="J4" s="42">
        <v>1.8</v>
      </c>
      <c r="K4" s="39">
        <f t="shared" ref="K4:K25" si="1">(H4-I4*4-J4*9)/4</f>
        <v>78.25</v>
      </c>
    </row>
    <row r="5" spans="1:11">
      <c r="A5" s="3" t="s">
        <v>17</v>
      </c>
      <c r="B5" s="6">
        <v>31.7</v>
      </c>
      <c r="C5" s="6">
        <v>86.7</v>
      </c>
      <c r="D5" s="6">
        <v>299.2</v>
      </c>
      <c r="E5" s="6">
        <v>9.1</v>
      </c>
      <c r="F5" s="6">
        <v>1.6</v>
      </c>
      <c r="G5" s="39">
        <f t="shared" si="0"/>
        <v>62.1</v>
      </c>
      <c r="H5" s="42">
        <v>368</v>
      </c>
      <c r="I5" s="42">
        <v>9.6999999999999993</v>
      </c>
      <c r="J5" s="42">
        <v>1.8</v>
      </c>
      <c r="K5" s="39">
        <f t="shared" si="1"/>
        <v>78.25</v>
      </c>
    </row>
    <row r="6" spans="1:11">
      <c r="A6" s="3" t="s">
        <v>18</v>
      </c>
      <c r="B6" s="6">
        <v>0.2</v>
      </c>
      <c r="C6" s="6">
        <v>0.6</v>
      </c>
      <c r="D6" s="6">
        <v>2</v>
      </c>
      <c r="E6" s="6">
        <v>0</v>
      </c>
      <c r="F6" s="6">
        <v>0</v>
      </c>
      <c r="G6" s="39">
        <f t="shared" si="0"/>
        <v>0.5</v>
      </c>
      <c r="H6" s="6">
        <v>329</v>
      </c>
      <c r="I6" s="6">
        <v>6.7</v>
      </c>
      <c r="J6" s="6">
        <v>1.5</v>
      </c>
      <c r="K6" s="39">
        <f t="shared" si="1"/>
        <v>72.174999999999997</v>
      </c>
    </row>
    <row r="7" spans="1:11">
      <c r="A7" s="3" t="s">
        <v>19</v>
      </c>
      <c r="B7" s="6">
        <v>0.2</v>
      </c>
      <c r="C7" s="6">
        <v>0.6</v>
      </c>
      <c r="D7" s="6">
        <v>2</v>
      </c>
      <c r="E7" s="6">
        <v>0</v>
      </c>
      <c r="F7" s="6">
        <v>0</v>
      </c>
      <c r="G7" s="39">
        <f t="shared" si="0"/>
        <v>0.5</v>
      </c>
      <c r="H7" s="6">
        <v>329</v>
      </c>
      <c r="I7" s="6">
        <v>6.7</v>
      </c>
      <c r="J7" s="6">
        <v>1.5</v>
      </c>
      <c r="K7" s="39">
        <f t="shared" si="1"/>
        <v>72.174999999999997</v>
      </c>
    </row>
    <row r="8" spans="1:11">
      <c r="A8" s="3" t="s">
        <v>20</v>
      </c>
      <c r="B8" s="6">
        <v>0.1</v>
      </c>
      <c r="C8" s="6">
        <v>0.3</v>
      </c>
      <c r="D8" s="6">
        <v>0.9</v>
      </c>
      <c r="E8" s="6">
        <v>0</v>
      </c>
      <c r="F8" s="6">
        <v>0</v>
      </c>
      <c r="G8" s="39">
        <f t="shared" si="0"/>
        <v>0.22500000000000001</v>
      </c>
      <c r="H8" s="6">
        <v>329</v>
      </c>
      <c r="I8" s="6">
        <v>6.7</v>
      </c>
      <c r="J8" s="6">
        <v>1.5</v>
      </c>
      <c r="K8" s="39">
        <f t="shared" si="1"/>
        <v>72.174999999999997</v>
      </c>
    </row>
    <row r="9" spans="1:11">
      <c r="A9" s="3" t="s">
        <v>21</v>
      </c>
      <c r="B9" s="6">
        <v>0.5</v>
      </c>
      <c r="C9" s="6">
        <v>1.5</v>
      </c>
      <c r="D9" s="6">
        <v>5.2</v>
      </c>
      <c r="E9" s="6">
        <v>0.1</v>
      </c>
      <c r="F9" s="6">
        <v>0</v>
      </c>
      <c r="G9" s="39">
        <f t="shared" si="0"/>
        <v>1.2</v>
      </c>
      <c r="H9" s="6">
        <v>348.1</v>
      </c>
      <c r="I9" s="6">
        <v>8.1999999999999993</v>
      </c>
      <c r="J9" s="6">
        <v>2.4</v>
      </c>
      <c r="K9" s="39">
        <f t="shared" si="1"/>
        <v>73.424999999999997</v>
      </c>
    </row>
    <row r="10" spans="1:11">
      <c r="A10" s="3" t="s">
        <v>22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39">
        <f t="shared" si="0"/>
        <v>0</v>
      </c>
      <c r="H10" s="6">
        <v>348</v>
      </c>
      <c r="I10" s="6">
        <v>9.5</v>
      </c>
      <c r="J10" s="6">
        <v>2.6</v>
      </c>
      <c r="K10" s="39">
        <f t="shared" si="1"/>
        <v>71.650000000000006</v>
      </c>
    </row>
    <row r="11" spans="1:11">
      <c r="A11" s="3" t="s">
        <v>23</v>
      </c>
      <c r="B11" s="6">
        <v>0.7</v>
      </c>
      <c r="C11" s="6">
        <v>1.8</v>
      </c>
      <c r="D11" s="6">
        <v>6.2</v>
      </c>
      <c r="E11" s="6">
        <v>0.2</v>
      </c>
      <c r="F11" s="6">
        <v>0.1</v>
      </c>
      <c r="G11" s="39">
        <f t="shared" si="0"/>
        <v>1.125</v>
      </c>
      <c r="H11" s="6">
        <v>338.1</v>
      </c>
      <c r="I11" s="6">
        <v>11.7</v>
      </c>
      <c r="J11" s="6">
        <v>3</v>
      </c>
      <c r="K11" s="39">
        <f t="shared" si="1"/>
        <v>66.075000000000003</v>
      </c>
    </row>
    <row r="12" spans="1:11">
      <c r="A12" s="3" t="s">
        <v>24</v>
      </c>
      <c r="B12" s="6">
        <v>3.8</v>
      </c>
      <c r="C12" s="6">
        <v>10.5</v>
      </c>
      <c r="D12" s="6">
        <v>13.3</v>
      </c>
      <c r="E12" s="6">
        <v>0.1</v>
      </c>
      <c r="F12" s="6">
        <v>0</v>
      </c>
      <c r="G12" s="39">
        <f t="shared" si="0"/>
        <v>3.2250000000000001</v>
      </c>
      <c r="H12" s="42">
        <v>134</v>
      </c>
      <c r="I12" s="42">
        <v>1.2</v>
      </c>
      <c r="J12" s="42">
        <v>0.2</v>
      </c>
      <c r="K12" s="39">
        <f t="shared" si="1"/>
        <v>31.849999999999998</v>
      </c>
    </row>
    <row r="13" spans="1:11">
      <c r="A13" s="3" t="s">
        <v>25</v>
      </c>
      <c r="B13" s="6">
        <v>3.8</v>
      </c>
      <c r="C13" s="6">
        <v>10.5</v>
      </c>
      <c r="D13" s="6">
        <v>13.3</v>
      </c>
      <c r="E13" s="6">
        <v>0.1</v>
      </c>
      <c r="F13" s="6">
        <v>0</v>
      </c>
      <c r="G13" s="39">
        <f>(D13-E13*4-F13*9)/4</f>
        <v>3.2250000000000001</v>
      </c>
      <c r="H13" s="42">
        <v>134</v>
      </c>
      <c r="I13" s="42">
        <v>1.2</v>
      </c>
      <c r="J13" s="42">
        <v>0.2</v>
      </c>
      <c r="K13" s="39">
        <f>(H13-I13*4-J13*9)/4</f>
        <v>31.849999999999998</v>
      </c>
    </row>
    <row r="14" spans="1:11">
      <c r="A14" s="3" t="s">
        <v>26</v>
      </c>
      <c r="B14" s="6">
        <v>17.2</v>
      </c>
      <c r="C14" s="6">
        <v>47.2</v>
      </c>
      <c r="D14" s="6">
        <v>27.9</v>
      </c>
      <c r="E14" s="6">
        <v>0.9</v>
      </c>
      <c r="F14" s="6">
        <v>0</v>
      </c>
      <c r="G14" s="39">
        <f t="shared" si="0"/>
        <v>6.0749999999999993</v>
      </c>
      <c r="H14" s="42">
        <v>76</v>
      </c>
      <c r="I14" s="42">
        <v>1.6</v>
      </c>
      <c r="J14" s="42">
        <v>0.1</v>
      </c>
      <c r="K14" s="39">
        <f t="shared" si="1"/>
        <v>17.174999999999997</v>
      </c>
    </row>
    <row r="15" spans="1:11">
      <c r="A15" s="3" t="s">
        <v>27</v>
      </c>
      <c r="B15" s="6">
        <v>17.2</v>
      </c>
      <c r="C15" s="6">
        <v>47.2</v>
      </c>
      <c r="D15" s="6">
        <v>27.9</v>
      </c>
      <c r="E15" s="6">
        <v>0.9</v>
      </c>
      <c r="F15" s="6">
        <v>0</v>
      </c>
      <c r="G15" s="39">
        <f t="shared" si="0"/>
        <v>6.0749999999999993</v>
      </c>
      <c r="H15" s="42">
        <v>76</v>
      </c>
      <c r="I15" s="42">
        <v>1.6</v>
      </c>
      <c r="J15" s="42">
        <v>0.1</v>
      </c>
      <c r="K15" s="39">
        <f t="shared" si="1"/>
        <v>17.174999999999997</v>
      </c>
    </row>
    <row r="16" spans="1:11">
      <c r="A16" s="3" t="s">
        <v>28</v>
      </c>
      <c r="B16" s="6">
        <v>6.7</v>
      </c>
      <c r="C16" s="6">
        <v>18.399999999999999</v>
      </c>
      <c r="D16" s="6">
        <v>73.2</v>
      </c>
      <c r="E16" s="6">
        <v>6.1</v>
      </c>
      <c r="F16" s="6">
        <v>3.9</v>
      </c>
      <c r="G16" s="39">
        <f t="shared" si="0"/>
        <v>3.4250000000000007</v>
      </c>
      <c r="H16" s="42">
        <v>422</v>
      </c>
      <c r="I16" s="42">
        <v>33.799999999999997</v>
      </c>
      <c r="J16" s="42">
        <v>19.7</v>
      </c>
      <c r="K16" s="39">
        <f t="shared" si="1"/>
        <v>27.375000000000007</v>
      </c>
    </row>
    <row r="17" spans="1:11">
      <c r="A17" s="3" t="s">
        <v>29</v>
      </c>
      <c r="B17" s="6">
        <v>6.7</v>
      </c>
      <c r="C17" s="6">
        <v>18.399999999999999</v>
      </c>
      <c r="D17" s="6">
        <v>73.2</v>
      </c>
      <c r="E17" s="6">
        <v>6.1</v>
      </c>
      <c r="F17" s="6">
        <v>3.9</v>
      </c>
      <c r="G17" s="40">
        <f t="shared" si="0"/>
        <v>3.4250000000000007</v>
      </c>
      <c r="H17" s="42">
        <v>422</v>
      </c>
      <c r="I17" s="42">
        <v>33.799999999999997</v>
      </c>
      <c r="J17" s="42">
        <v>19.7</v>
      </c>
      <c r="K17" s="40">
        <f t="shared" si="1"/>
        <v>27.375000000000007</v>
      </c>
    </row>
    <row r="18" spans="1:11">
      <c r="A18" s="3" t="s">
        <v>30</v>
      </c>
      <c r="B18" s="6">
        <v>2.2000000000000002</v>
      </c>
      <c r="C18" s="6">
        <v>6.2</v>
      </c>
      <c r="D18" s="6">
        <v>23.7</v>
      </c>
      <c r="E18" s="6">
        <v>1.4</v>
      </c>
      <c r="F18" s="6">
        <v>1</v>
      </c>
      <c r="G18" s="40">
        <f t="shared" si="0"/>
        <v>2.2750000000000004</v>
      </c>
      <c r="H18" s="6">
        <v>384</v>
      </c>
      <c r="I18" s="6">
        <v>22.6</v>
      </c>
      <c r="J18" s="6">
        <v>16.2</v>
      </c>
      <c r="K18" s="40">
        <f t="shared" si="1"/>
        <v>36.95000000000001</v>
      </c>
    </row>
    <row r="19" spans="1:11">
      <c r="A19" s="3" t="s">
        <v>31</v>
      </c>
      <c r="B19" s="6">
        <v>88.1</v>
      </c>
      <c r="C19" s="6">
        <v>241.4</v>
      </c>
      <c r="D19" s="6">
        <v>66.400000000000006</v>
      </c>
      <c r="E19" s="6">
        <v>3</v>
      </c>
      <c r="F19" s="6">
        <v>0.5</v>
      </c>
      <c r="G19" s="40">
        <v>12.475000000000001</v>
      </c>
      <c r="H19" s="6">
        <v>27.5</v>
      </c>
      <c r="I19" s="6">
        <v>1.2</v>
      </c>
      <c r="J19" s="6">
        <v>0.2</v>
      </c>
      <c r="K19" s="40">
        <v>5.2249999999999996</v>
      </c>
    </row>
    <row r="20" spans="1:11">
      <c r="A20" s="3" t="s">
        <v>32</v>
      </c>
      <c r="B20" s="6">
        <v>3.4</v>
      </c>
      <c r="C20" s="6">
        <v>9.3000000000000007</v>
      </c>
      <c r="D20" s="6">
        <v>4.5</v>
      </c>
      <c r="E20" s="6">
        <v>0.1</v>
      </c>
      <c r="F20" s="6">
        <v>0</v>
      </c>
      <c r="G20" s="40">
        <f t="shared" si="0"/>
        <v>1.0249999999999999</v>
      </c>
      <c r="H20" s="6">
        <v>48</v>
      </c>
      <c r="I20" s="6">
        <v>0.6</v>
      </c>
      <c r="J20" s="6">
        <v>0.1</v>
      </c>
      <c r="K20" s="40">
        <f t="shared" si="1"/>
        <v>11.175000000000001</v>
      </c>
    </row>
    <row r="21" spans="1:11">
      <c r="A21" s="3" t="s">
        <v>33</v>
      </c>
      <c r="B21" s="6">
        <v>7.6</v>
      </c>
      <c r="C21" s="6">
        <v>20.8</v>
      </c>
      <c r="D21" s="6">
        <v>11</v>
      </c>
      <c r="E21" s="6">
        <v>0</v>
      </c>
      <c r="F21" s="6">
        <v>0</v>
      </c>
      <c r="G21" s="40">
        <f t="shared" si="0"/>
        <v>2.75</v>
      </c>
      <c r="H21" s="6">
        <v>53</v>
      </c>
      <c r="I21" s="6">
        <v>0.1</v>
      </c>
      <c r="J21" s="6">
        <v>0.2</v>
      </c>
      <c r="K21" s="40">
        <f t="shared" si="1"/>
        <v>12.700000000000001</v>
      </c>
    </row>
    <row r="22" spans="1:11">
      <c r="A22" s="3" t="s">
        <v>34</v>
      </c>
      <c r="B22" s="6">
        <v>22.2</v>
      </c>
      <c r="C22" s="6">
        <v>60.7</v>
      </c>
      <c r="D22" s="6">
        <v>50.7</v>
      </c>
      <c r="E22" s="6">
        <v>0.8</v>
      </c>
      <c r="F22" s="6">
        <v>1.6</v>
      </c>
      <c r="G22" s="40">
        <f t="shared" si="0"/>
        <v>8.2750000000000004</v>
      </c>
      <c r="H22" s="6">
        <v>83.5</v>
      </c>
      <c r="I22" s="6">
        <v>1.4</v>
      </c>
      <c r="J22" s="6">
        <v>2.6</v>
      </c>
      <c r="K22" s="40">
        <f t="shared" si="1"/>
        <v>13.625</v>
      </c>
    </row>
    <row r="23" spans="1:11">
      <c r="A23" s="3" t="s">
        <v>38</v>
      </c>
      <c r="B23" s="6">
        <v>15.7</v>
      </c>
      <c r="C23" s="6">
        <v>42.9</v>
      </c>
      <c r="D23" s="6">
        <v>154.5</v>
      </c>
      <c r="E23" s="6">
        <v>0</v>
      </c>
      <c r="F23" s="6">
        <v>0.3</v>
      </c>
      <c r="G23" s="3"/>
      <c r="H23" s="6">
        <v>360.2</v>
      </c>
      <c r="I23" s="6">
        <v>0.1</v>
      </c>
      <c r="J23" s="6">
        <v>0.6</v>
      </c>
      <c r="K23" s="3"/>
    </row>
    <row r="24" spans="1:11">
      <c r="A24" s="3" t="s">
        <v>39</v>
      </c>
      <c r="B24" s="6">
        <v>22</v>
      </c>
      <c r="C24" s="6">
        <v>60.3</v>
      </c>
      <c r="D24" s="6">
        <v>77.900000000000006</v>
      </c>
      <c r="E24" s="6">
        <v>11.6</v>
      </c>
      <c r="F24" s="6">
        <v>3.9</v>
      </c>
      <c r="G24" s="3"/>
      <c r="H24" s="42">
        <v>160.1</v>
      </c>
      <c r="I24" s="42">
        <v>19.3</v>
      </c>
      <c r="J24" s="42">
        <v>8.1</v>
      </c>
      <c r="K24" s="3"/>
    </row>
    <row r="25" spans="1:11">
      <c r="A25" s="3" t="s">
        <v>40</v>
      </c>
      <c r="B25" s="6">
        <v>0.8</v>
      </c>
      <c r="C25" s="6">
        <v>2.1</v>
      </c>
      <c r="D25" s="6">
        <v>4.7</v>
      </c>
      <c r="E25" s="6">
        <v>0.5</v>
      </c>
      <c r="F25" s="6">
        <v>0.1</v>
      </c>
      <c r="G25" s="3"/>
      <c r="H25" s="42">
        <v>160.5</v>
      </c>
      <c r="I25" s="42">
        <v>29.8</v>
      </c>
      <c r="J25" s="42">
        <v>2.9</v>
      </c>
      <c r="K25" s="3"/>
    </row>
    <row r="26" spans="1:11">
      <c r="A26" s="3" t="s">
        <v>41</v>
      </c>
      <c r="B26" s="6">
        <v>17</v>
      </c>
      <c r="C26" s="6">
        <v>46.6</v>
      </c>
      <c r="D26" s="6">
        <v>182.2</v>
      </c>
      <c r="E26" s="6">
        <v>0</v>
      </c>
      <c r="F26" s="6">
        <v>0</v>
      </c>
      <c r="G26" s="3"/>
      <c r="H26" s="42">
        <v>384</v>
      </c>
      <c r="I26" s="42">
        <v>0</v>
      </c>
      <c r="J26" s="42">
        <v>0</v>
      </c>
      <c r="K26" s="3"/>
    </row>
    <row r="27" spans="1:11">
      <c r="A27" s="3" t="s">
        <v>42</v>
      </c>
      <c r="B27" s="6">
        <v>4.8</v>
      </c>
      <c r="C27" s="6">
        <v>13</v>
      </c>
      <c r="D27" s="6">
        <v>115.7</v>
      </c>
      <c r="E27" s="6">
        <v>0</v>
      </c>
      <c r="F27" s="6">
        <v>13</v>
      </c>
      <c r="G27" s="3"/>
      <c r="H27" s="42">
        <v>921</v>
      </c>
      <c r="I27" s="42">
        <v>0</v>
      </c>
      <c r="J27" s="42">
        <v>100</v>
      </c>
      <c r="K27" s="3"/>
    </row>
    <row r="28" spans="1:11">
      <c r="A28" s="3" t="s">
        <v>43</v>
      </c>
      <c r="B28" s="6">
        <v>3.6</v>
      </c>
      <c r="C28" s="6">
        <v>9.6999999999999993</v>
      </c>
      <c r="D28" s="6">
        <v>17.7</v>
      </c>
      <c r="E28" s="6">
        <v>1.2</v>
      </c>
      <c r="F28" s="6">
        <v>0.6</v>
      </c>
      <c r="G28" s="3"/>
      <c r="H28" s="6">
        <v>182</v>
      </c>
      <c r="I28" s="6">
        <v>12.5</v>
      </c>
      <c r="J28" s="6">
        <v>6</v>
      </c>
      <c r="K28" s="3"/>
    </row>
    <row r="29" spans="1:11">
      <c r="A29" s="3" t="s">
        <v>44</v>
      </c>
      <c r="B29" s="6">
        <v>5.2</v>
      </c>
      <c r="C29" s="6">
        <v>14.2</v>
      </c>
      <c r="D29" s="6">
        <v>10.8</v>
      </c>
      <c r="E29" s="6">
        <v>1.1000000000000001</v>
      </c>
      <c r="F29" s="6">
        <v>0</v>
      </c>
      <c r="G29" s="3"/>
      <c r="H29" s="6">
        <v>76</v>
      </c>
      <c r="I29" s="6">
        <v>7.7</v>
      </c>
      <c r="J29" s="6">
        <v>0</v>
      </c>
      <c r="K29" s="3"/>
    </row>
    <row r="30" spans="1:11">
      <c r="A30" s="3" t="s">
        <v>45</v>
      </c>
      <c r="B30" s="6">
        <v>4.5999999999999996</v>
      </c>
      <c r="C30" s="6">
        <v>12.5</v>
      </c>
      <c r="D30" s="6">
        <v>14.7</v>
      </c>
      <c r="E30" s="6">
        <v>0.9</v>
      </c>
      <c r="F30" s="6">
        <v>0.5</v>
      </c>
      <c r="G30" s="3"/>
      <c r="H30" s="6">
        <v>117.3</v>
      </c>
      <c r="I30" s="6">
        <v>6.9</v>
      </c>
      <c r="J30" s="6">
        <v>4.2</v>
      </c>
      <c r="K30" s="3"/>
    </row>
    <row r="31" spans="1:11">
      <c r="A31" s="11" t="s">
        <v>46</v>
      </c>
      <c r="B31" s="6">
        <v>6.2</v>
      </c>
      <c r="C31" s="6">
        <v>17</v>
      </c>
      <c r="D31" s="6">
        <v>43.8</v>
      </c>
      <c r="E31" s="6">
        <v>2.8</v>
      </c>
      <c r="F31" s="6">
        <v>3.8</v>
      </c>
      <c r="G31" s="6">
        <v>0</v>
      </c>
      <c r="H31" s="42">
        <v>287.89999999999998</v>
      </c>
      <c r="I31" s="42">
        <v>17</v>
      </c>
      <c r="J31" s="42">
        <v>22.8</v>
      </c>
      <c r="K31" s="6">
        <v>0.2</v>
      </c>
    </row>
    <row r="32" spans="1:11">
      <c r="A32" s="11" t="s">
        <v>47</v>
      </c>
      <c r="B32" s="6">
        <v>13.1</v>
      </c>
      <c r="C32" s="6">
        <v>35.799999999999997</v>
      </c>
      <c r="D32" s="6">
        <v>76.900000000000006</v>
      </c>
      <c r="E32" s="6">
        <v>6.5</v>
      </c>
      <c r="F32" s="6">
        <v>5.8</v>
      </c>
      <c r="G32" s="6">
        <v>0</v>
      </c>
      <c r="H32" s="42">
        <v>233.8</v>
      </c>
      <c r="I32" s="42">
        <v>18.8</v>
      </c>
      <c r="J32" s="42">
        <v>16.3</v>
      </c>
      <c r="K32" s="6">
        <v>0.1</v>
      </c>
    </row>
    <row r="33" spans="1:11">
      <c r="A33" s="11" t="s">
        <v>48</v>
      </c>
      <c r="B33" s="6">
        <v>14.6</v>
      </c>
      <c r="C33" s="6">
        <v>39.9</v>
      </c>
      <c r="D33" s="6">
        <v>58.3</v>
      </c>
      <c r="E33" s="6">
        <v>7.9</v>
      </c>
      <c r="F33" s="6">
        <v>3.2</v>
      </c>
      <c r="G33" s="6">
        <v>0</v>
      </c>
      <c r="H33" s="42">
        <v>159.80000000000001</v>
      </c>
      <c r="I33" s="42">
        <v>19.8</v>
      </c>
      <c r="J33" s="42">
        <v>8.1</v>
      </c>
      <c r="K33" s="6">
        <v>0</v>
      </c>
    </row>
    <row r="34" spans="1:11">
      <c r="A34" s="11" t="s">
        <v>49</v>
      </c>
      <c r="B34" s="6">
        <v>16.899999999999999</v>
      </c>
      <c r="C34" s="6">
        <v>46.4</v>
      </c>
      <c r="D34" s="6">
        <v>65.900000000000006</v>
      </c>
      <c r="E34" s="6">
        <v>5.7</v>
      </c>
      <c r="F34" s="6">
        <v>4.7</v>
      </c>
      <c r="G34" s="6">
        <v>0.1</v>
      </c>
      <c r="H34" s="42">
        <v>151</v>
      </c>
      <c r="I34" s="42">
        <v>12.3</v>
      </c>
      <c r="J34" s="42">
        <v>10.3</v>
      </c>
      <c r="K34" s="6">
        <v>0.3</v>
      </c>
    </row>
    <row r="35" spans="1:11">
      <c r="A35" s="11" t="s">
        <v>50</v>
      </c>
      <c r="B35" s="6">
        <v>93.9</v>
      </c>
      <c r="C35" s="6">
        <v>257.3</v>
      </c>
      <c r="D35" s="6">
        <v>162.1</v>
      </c>
      <c r="E35" s="6">
        <v>8.1999999999999993</v>
      </c>
      <c r="F35" s="6">
        <v>9.5</v>
      </c>
      <c r="G35" s="6">
        <v>11.3</v>
      </c>
      <c r="H35" s="42">
        <v>67</v>
      </c>
      <c r="I35" s="42">
        <v>3.3</v>
      </c>
      <c r="J35" s="42">
        <v>3.8</v>
      </c>
      <c r="K35" s="6">
        <v>4.4000000000000004</v>
      </c>
    </row>
  </sheetData>
  <phoneticPr fontId="4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Index</vt:lpstr>
      <vt:lpstr>sval</vt:lpstr>
      <vt:lpstr>prod_alt</vt:lpstr>
      <vt:lpstr>land_endw</vt:lpstr>
      <vt:lpstr>land_dsrt</vt:lpstr>
      <vt:lpstr>head</vt:lpstr>
      <vt:lpstr>fdemand</vt:lpstr>
      <vt:lpstr>fsupply</vt:lpstr>
      <vt:lpstr>fconst_imp</vt:lpstr>
      <vt:lpstr>edemand</vt:lpstr>
      <vt:lpstr>esupply</vt:lpstr>
      <vt:lpstr>fertcoef</vt:lpstr>
      <vt:lpstr>ldemand_c</vt:lpstr>
      <vt:lpstr>ldemand_l</vt:lpstr>
      <vt:lpstr>intake</vt:lpstr>
      <vt:lpstr>nvalue</vt:lpstr>
      <vt:lpstr>nvalue!Print_Area</vt:lpstr>
      <vt:lpstr>prod_alt!Print_Area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2026-02-17T16:18:58Z</dcterms:modified>
</cp:coreProperties>
</file>